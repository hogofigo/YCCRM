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namedSheetViews/namedSheetView1.xml" ContentType="application/vnd.ms-excel.namedsheetviews+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updateLinks="always" codeName="ThisWorkbook" defaultThemeVersion="166925"/>
  <mc:AlternateContent xmlns:mc="http://schemas.openxmlformats.org/markup-compatibility/2006">
    <mc:Choice Requires="x15">
      <x15ac:absPath xmlns:x15ac="http://schemas.microsoft.com/office/spreadsheetml/2010/11/ac" url="C:\Users\ahalim\OneDrive - Yanbu Cement Company\Desktop\New folder (3)\"/>
    </mc:Choice>
  </mc:AlternateContent>
  <xr:revisionPtr revIDLastSave="1274" documentId="14_{FEE90DD5-BC8B-47E2-A191-92210FAB2CFC}" xr6:coauthVersionLast="36" xr6:coauthVersionMax="47" xr10:uidLastSave="{844A0191-EC09-4637-8396-E8742990D06D}"/>
  <bookViews>
    <workbookView xWindow="-120" yWindow="-120" windowWidth="29040" windowHeight="15720" xr2:uid="{00000000-000D-0000-FFFF-FFFF00000000}"/>
  </bookViews>
  <sheets>
    <sheet name="Risk Register" sheetId="1" r:id="rId1"/>
    <sheet name="Sheet1" sheetId="3" state="hidden" r:id="rId2"/>
    <sheet name="Risk Matrices" sheetId="6" state="hidden" r:id="rId3"/>
    <sheet name="Impact &amp; Liklihood" sheetId="5" r:id="rId4"/>
  </sheets>
  <definedNames>
    <definedName name="_xlnm._FilterDatabase" localSheetId="0" hidden="1">'Risk Register'!$B$1:$AW$275</definedName>
    <definedName name="Compliance___Legal">Sheet1!$E$2:$E$20</definedName>
    <definedName name="Customers___Reputation">Sheet1!$L$2:$L$6</definedName>
    <definedName name="Financial">Sheet1!$D$2:$D$18</definedName>
    <definedName name="Health__Safety__Environemnt___Quality">Sheet1!$K$2:$K$19</definedName>
    <definedName name="Human_Capital">Sheet1!$I$2:$I$7</definedName>
    <definedName name="Operations">Sheet1!$F$2:$F$18</definedName>
    <definedName name="Project_Plan">Sheet1!$G$2:$G$14</definedName>
    <definedName name="Strategic">Sheet1!$H$2:$H$16</definedName>
    <definedName name="Technology">Sheet1!$J$2:$J$8</definedName>
  </definedName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L52" i="1" l="1"/>
  <c r="AN52" i="1"/>
  <c r="AO52" i="1"/>
  <c r="AP52" i="1"/>
  <c r="AA52" i="1"/>
  <c r="AD52" i="1"/>
  <c r="AE52" i="1"/>
  <c r="AF52" i="1" s="1"/>
  <c r="AE62" i="1"/>
  <c r="AF62" i="1" s="1"/>
  <c r="AE84" i="1"/>
  <c r="AE85" i="1"/>
  <c r="AE86" i="1"/>
  <c r="AE87" i="1"/>
  <c r="AE88" i="1"/>
  <c r="AF88" i="1" s="1"/>
  <c r="AE89" i="1"/>
  <c r="AF89" i="1" s="1"/>
  <c r="AE90" i="1"/>
  <c r="AF90" i="1" s="1"/>
  <c r="AE91" i="1"/>
  <c r="AF91" i="1" s="1"/>
  <c r="AE92" i="1"/>
  <c r="AE93" i="1"/>
  <c r="AE94" i="1"/>
  <c r="AF94" i="1" s="1"/>
  <c r="AE95" i="1"/>
  <c r="AF95" i="1" s="1"/>
  <c r="AE96" i="1"/>
  <c r="AF96" i="1" s="1"/>
  <c r="AE97" i="1"/>
  <c r="AF97" i="1" s="1"/>
  <c r="AE98" i="1"/>
  <c r="AF98" i="1" s="1"/>
  <c r="AO114" i="1"/>
  <c r="AP114" i="1" s="1"/>
  <c r="AN114" i="1"/>
  <c r="AL114" i="1"/>
  <c r="AD114" i="1"/>
  <c r="AA114" i="1"/>
  <c r="AE114" i="1" s="1"/>
  <c r="AF114" i="1" s="1"/>
  <c r="AO113" i="1"/>
  <c r="AP113" i="1" s="1"/>
  <c r="AN113" i="1"/>
  <c r="AL113" i="1"/>
  <c r="AD113" i="1"/>
  <c r="AA113" i="1"/>
  <c r="AE113" i="1" s="1"/>
  <c r="AF113" i="1" s="1"/>
  <c r="AO112" i="1"/>
  <c r="AP112" i="1" s="1"/>
  <c r="AN112" i="1"/>
  <c r="AL112" i="1"/>
  <c r="AD112" i="1"/>
  <c r="AA112" i="1"/>
  <c r="AE112" i="1" s="1"/>
  <c r="AF112" i="1" s="1"/>
  <c r="AO111" i="1"/>
  <c r="AP111" i="1" s="1"/>
  <c r="AN111" i="1"/>
  <c r="AL111" i="1"/>
  <c r="AD111" i="1"/>
  <c r="AA111" i="1"/>
  <c r="AE111" i="1" s="1"/>
  <c r="AF111" i="1" s="1"/>
  <c r="AO110" i="1"/>
  <c r="AP110" i="1" s="1"/>
  <c r="AN110" i="1"/>
  <c r="AL110" i="1"/>
  <c r="AD110" i="1"/>
  <c r="AA110" i="1"/>
  <c r="AE110" i="1" s="1"/>
  <c r="AF110" i="1" s="1"/>
  <c r="AO109" i="1"/>
  <c r="AP109" i="1" s="1"/>
  <c r="AN109" i="1"/>
  <c r="AL109" i="1"/>
  <c r="AD109" i="1"/>
  <c r="AA109" i="1"/>
  <c r="AE109" i="1" s="1"/>
  <c r="AF109" i="1" s="1"/>
  <c r="AO108" i="1"/>
  <c r="AP108" i="1" s="1"/>
  <c r="AN108" i="1"/>
  <c r="AL108" i="1"/>
  <c r="AD108" i="1"/>
  <c r="AA108" i="1"/>
  <c r="AE108" i="1" s="1"/>
  <c r="AF108" i="1" s="1"/>
  <c r="AO107" i="1"/>
  <c r="AP107" i="1" s="1"/>
  <c r="AN107" i="1"/>
  <c r="AL107" i="1"/>
  <c r="AD107" i="1"/>
  <c r="AA107" i="1"/>
  <c r="AE107" i="1" s="1"/>
  <c r="AF107" i="1" s="1"/>
  <c r="AO106" i="1"/>
  <c r="AP106" i="1" s="1"/>
  <c r="AN106" i="1"/>
  <c r="AL106" i="1"/>
  <c r="AD106" i="1"/>
  <c r="AA106" i="1"/>
  <c r="AE106" i="1" s="1"/>
  <c r="AF106" i="1" s="1"/>
  <c r="AO105" i="1"/>
  <c r="AP105" i="1" s="1"/>
  <c r="AN105" i="1"/>
  <c r="AL105" i="1"/>
  <c r="AD105" i="1"/>
  <c r="AA105" i="1"/>
  <c r="AE105" i="1" s="1"/>
  <c r="AF105" i="1" s="1"/>
  <c r="AO104" i="1"/>
  <c r="AP104" i="1" s="1"/>
  <c r="AN104" i="1"/>
  <c r="AL104" i="1"/>
  <c r="AD104" i="1"/>
  <c r="AA104" i="1"/>
  <c r="AE104" i="1" s="1"/>
  <c r="AF104" i="1" s="1"/>
  <c r="AO103" i="1"/>
  <c r="AP103" i="1" s="1"/>
  <c r="AN103" i="1"/>
  <c r="AL103" i="1"/>
  <c r="AD103" i="1"/>
  <c r="AA103" i="1"/>
  <c r="AE103" i="1" s="1"/>
  <c r="AF103" i="1" s="1"/>
  <c r="AO102" i="1"/>
  <c r="AP102" i="1" s="1"/>
  <c r="AN102" i="1"/>
  <c r="AL102" i="1"/>
  <c r="AD102" i="1"/>
  <c r="AA102" i="1"/>
  <c r="AE102" i="1" s="1"/>
  <c r="AF102" i="1" s="1"/>
  <c r="AO101" i="1"/>
  <c r="AP101" i="1" s="1"/>
  <c r="AN101" i="1"/>
  <c r="AL101" i="1"/>
  <c r="AD101" i="1"/>
  <c r="AA101" i="1"/>
  <c r="AE101" i="1" s="1"/>
  <c r="AF101" i="1" s="1"/>
  <c r="AO100" i="1"/>
  <c r="AP100" i="1" s="1"/>
  <c r="AN100" i="1"/>
  <c r="AL100" i="1"/>
  <c r="AD100" i="1"/>
  <c r="AA100" i="1"/>
  <c r="AE100" i="1" s="1"/>
  <c r="AF100" i="1" s="1"/>
  <c r="AO99" i="1"/>
  <c r="AP99" i="1" s="1"/>
  <c r="AN99" i="1"/>
  <c r="AL99" i="1"/>
  <c r="AD99" i="1"/>
  <c r="AA99" i="1"/>
  <c r="AE99" i="1" s="1"/>
  <c r="AF99" i="1" s="1"/>
  <c r="AL98" i="1"/>
  <c r="AP97" i="1"/>
  <c r="AL97" i="1"/>
  <c r="AL96" i="1"/>
  <c r="AP95" i="1"/>
  <c r="AL95" i="1"/>
  <c r="AL94" i="1"/>
  <c r="AP93" i="1"/>
  <c r="AL93" i="1"/>
  <c r="AF93" i="1"/>
  <c r="AL92" i="1"/>
  <c r="AF92" i="1"/>
  <c r="AP91" i="1"/>
  <c r="AL91" i="1"/>
  <c r="AL90" i="1"/>
  <c r="AP89" i="1"/>
  <c r="AL89" i="1"/>
  <c r="AL88" i="1"/>
  <c r="AP87" i="1"/>
  <c r="AL87" i="1"/>
  <c r="AF87" i="1"/>
  <c r="AL86" i="1"/>
  <c r="AF86" i="1"/>
  <c r="AP85" i="1"/>
  <c r="AL85" i="1"/>
  <c r="AF85" i="1"/>
  <c r="AF84" i="1"/>
  <c r="AO83" i="1"/>
  <c r="AP83" i="1" s="1"/>
  <c r="AN83" i="1"/>
  <c r="AL83" i="1"/>
  <c r="AD83" i="1"/>
  <c r="AA83" i="1"/>
  <c r="AE83" i="1" s="1"/>
  <c r="AF83" i="1" s="1"/>
  <c r="AO82" i="1"/>
  <c r="AP82" i="1" s="1"/>
  <c r="AN82" i="1"/>
  <c r="AL82" i="1"/>
  <c r="AD82" i="1"/>
  <c r="AA82" i="1"/>
  <c r="AE82" i="1" s="1"/>
  <c r="AF82" i="1" s="1"/>
  <c r="AO81" i="1"/>
  <c r="AP81" i="1" s="1"/>
  <c r="AN81" i="1"/>
  <c r="AL81" i="1"/>
  <c r="AD81" i="1"/>
  <c r="AA81" i="1"/>
  <c r="AE81" i="1" s="1"/>
  <c r="AF81" i="1" s="1"/>
  <c r="AO80" i="1"/>
  <c r="AP80" i="1" s="1"/>
  <c r="AN80" i="1"/>
  <c r="AL80" i="1"/>
  <c r="AD80" i="1"/>
  <c r="AA80" i="1"/>
  <c r="AE80" i="1" s="1"/>
  <c r="AF80" i="1" s="1"/>
  <c r="AO79" i="1"/>
  <c r="AP79" i="1" s="1"/>
  <c r="AN79" i="1"/>
  <c r="AL79" i="1"/>
  <c r="AD79" i="1"/>
  <c r="AA79" i="1"/>
  <c r="AE79" i="1" s="1"/>
  <c r="AF79" i="1" s="1"/>
  <c r="AO78" i="1"/>
  <c r="AP78" i="1" s="1"/>
  <c r="AN78" i="1"/>
  <c r="AL78" i="1"/>
  <c r="AD78" i="1"/>
  <c r="AA78" i="1"/>
  <c r="AE78" i="1" s="1"/>
  <c r="AF78" i="1" s="1"/>
  <c r="AO77" i="1"/>
  <c r="AP77" i="1" s="1"/>
  <c r="AN77" i="1"/>
  <c r="AL77" i="1"/>
  <c r="AD77" i="1"/>
  <c r="AA77" i="1"/>
  <c r="AE77" i="1" s="1"/>
  <c r="AF77" i="1" s="1"/>
  <c r="AO76" i="1"/>
  <c r="AP76" i="1" s="1"/>
  <c r="AN76" i="1"/>
  <c r="AL76" i="1"/>
  <c r="AD76" i="1"/>
  <c r="AA76" i="1"/>
  <c r="AE76" i="1" s="1"/>
  <c r="AF76" i="1" s="1"/>
  <c r="AO75" i="1"/>
  <c r="AP75" i="1" s="1"/>
  <c r="AN75" i="1"/>
  <c r="AL75" i="1"/>
  <c r="AD75" i="1"/>
  <c r="AA75" i="1"/>
  <c r="AE75" i="1" s="1"/>
  <c r="AF75" i="1" s="1"/>
  <c r="AO74" i="1"/>
  <c r="AP74" i="1" s="1"/>
  <c r="AN74" i="1"/>
  <c r="AL74" i="1"/>
  <c r="AD74" i="1"/>
  <c r="AA74" i="1"/>
  <c r="AE74" i="1" s="1"/>
  <c r="AF74" i="1" s="1"/>
  <c r="AO73" i="1"/>
  <c r="AP73" i="1" s="1"/>
  <c r="AN73" i="1"/>
  <c r="AL73" i="1"/>
  <c r="AD73" i="1"/>
  <c r="AA73" i="1"/>
  <c r="AE73" i="1" s="1"/>
  <c r="AF73" i="1" s="1"/>
  <c r="AO72" i="1"/>
  <c r="AP72" i="1" s="1"/>
  <c r="AN72" i="1"/>
  <c r="AL72" i="1"/>
  <c r="AD72" i="1"/>
  <c r="AA72" i="1"/>
  <c r="AE72" i="1" s="1"/>
  <c r="AF72" i="1" s="1"/>
  <c r="AO71" i="1"/>
  <c r="AP71" i="1" s="1"/>
  <c r="AN71" i="1"/>
  <c r="AL71" i="1"/>
  <c r="AD71" i="1"/>
  <c r="AA71" i="1"/>
  <c r="AE71" i="1" s="1"/>
  <c r="AF71" i="1" s="1"/>
  <c r="AO70" i="1"/>
  <c r="AP70" i="1" s="1"/>
  <c r="AN70" i="1"/>
  <c r="AL70" i="1"/>
  <c r="AD70" i="1"/>
  <c r="AA70" i="1"/>
  <c r="AE70" i="1" s="1"/>
  <c r="AF70" i="1" s="1"/>
  <c r="AO69" i="1"/>
  <c r="AP69" i="1" s="1"/>
  <c r="AN69" i="1"/>
  <c r="AL69" i="1"/>
  <c r="AD69" i="1"/>
  <c r="AA69" i="1"/>
  <c r="AE69" i="1" s="1"/>
  <c r="AF69" i="1" s="1"/>
  <c r="AA68" i="1"/>
  <c r="AE68" i="1" s="1"/>
  <c r="AF68" i="1" s="1"/>
  <c r="AO67" i="1"/>
  <c r="AA67" i="1"/>
  <c r="AE67" i="1" s="1"/>
  <c r="AF67" i="1" s="1"/>
  <c r="AO66" i="1"/>
  <c r="AA66" i="1"/>
  <c r="AE66" i="1" s="1"/>
  <c r="AF66" i="1" s="1"/>
  <c r="AO65" i="1"/>
  <c r="AA65" i="1"/>
  <c r="AE65" i="1" s="1"/>
  <c r="AF65" i="1" s="1"/>
  <c r="AO64" i="1"/>
  <c r="AP64" i="1" s="1"/>
  <c r="AN64" i="1"/>
  <c r="AL64" i="1"/>
  <c r="AD64" i="1"/>
  <c r="AA64" i="1"/>
  <c r="AE64" i="1" s="1"/>
  <c r="AF64" i="1" s="1"/>
  <c r="AO63" i="1"/>
  <c r="AP63" i="1" s="1"/>
  <c r="AN63" i="1"/>
  <c r="AL63" i="1"/>
  <c r="AD63" i="1"/>
  <c r="AA63" i="1"/>
  <c r="AE63" i="1" s="1"/>
  <c r="AF63" i="1" s="1"/>
  <c r="AO62" i="1"/>
  <c r="AP62" i="1" s="1"/>
  <c r="AN62" i="1"/>
  <c r="AL62" i="1"/>
  <c r="AO61" i="1"/>
  <c r="AP61" i="1" s="1"/>
  <c r="AN61" i="1"/>
  <c r="AL61" i="1"/>
  <c r="AD61" i="1"/>
  <c r="AA61" i="1"/>
  <c r="AE61" i="1" s="1"/>
  <c r="AF61" i="1" s="1"/>
  <c r="AO60" i="1"/>
  <c r="AP60" i="1" s="1"/>
  <c r="AD60" i="1"/>
  <c r="AA60" i="1"/>
  <c r="AE60" i="1" s="1"/>
  <c r="AF60" i="1" s="1"/>
  <c r="AO59" i="1"/>
  <c r="AP59" i="1" s="1"/>
  <c r="AD59" i="1"/>
  <c r="AA59" i="1"/>
  <c r="AE59" i="1" s="1"/>
  <c r="AF59" i="1" s="1"/>
  <c r="AO58" i="1"/>
  <c r="AP58" i="1" s="1"/>
  <c r="AN58" i="1"/>
  <c r="AL58" i="1"/>
  <c r="AD58" i="1"/>
  <c r="AA58" i="1"/>
  <c r="AE58" i="1" s="1"/>
  <c r="AF58" i="1" s="1"/>
  <c r="AO57" i="1"/>
  <c r="AP57" i="1" s="1"/>
  <c r="AN57" i="1"/>
  <c r="AL57" i="1"/>
  <c r="AD57" i="1"/>
  <c r="AA57" i="1"/>
  <c r="AE57" i="1" s="1"/>
  <c r="AF57" i="1" s="1"/>
  <c r="AO56" i="1"/>
  <c r="AP56" i="1" s="1"/>
  <c r="AN56" i="1"/>
  <c r="AL56" i="1"/>
  <c r="AD56" i="1"/>
  <c r="AA56" i="1"/>
  <c r="AE56" i="1" s="1"/>
  <c r="AF56" i="1" s="1"/>
  <c r="AO55" i="1"/>
  <c r="AP55" i="1" s="1"/>
  <c r="AN55" i="1"/>
  <c r="AL55" i="1"/>
  <c r="AD55" i="1"/>
  <c r="AA55" i="1"/>
  <c r="AE55" i="1" s="1"/>
  <c r="AF55" i="1" s="1"/>
  <c r="AP54" i="1"/>
  <c r="AN54" i="1"/>
  <c r="AL54" i="1"/>
  <c r="AD54" i="1"/>
  <c r="AA54" i="1"/>
  <c r="AE54" i="1" s="1"/>
  <c r="AF54" i="1" s="1"/>
  <c r="AO53" i="1"/>
  <c r="AP53" i="1" s="1"/>
  <c r="AN53" i="1"/>
  <c r="AL53" i="1"/>
  <c r="AD53" i="1"/>
  <c r="AA53" i="1"/>
  <c r="AE53" i="1" s="1"/>
  <c r="AF53" i="1" s="1"/>
  <c r="AO51" i="1"/>
  <c r="AP51" i="1" s="1"/>
  <c r="AN51" i="1"/>
  <c r="AL51" i="1"/>
  <c r="AD51" i="1"/>
  <c r="AA51" i="1"/>
  <c r="AE51" i="1" s="1"/>
  <c r="AF51" i="1" s="1"/>
  <c r="AO50" i="1"/>
  <c r="AP50" i="1" s="1"/>
  <c r="AN50" i="1"/>
  <c r="AL50" i="1"/>
  <c r="AD50" i="1"/>
  <c r="AA50" i="1"/>
  <c r="AE50" i="1" s="1"/>
  <c r="AF50" i="1" s="1"/>
  <c r="AO49" i="1"/>
  <c r="AP49" i="1" s="1"/>
  <c r="AN49" i="1"/>
  <c r="AL49" i="1"/>
  <c r="AD49" i="1"/>
  <c r="AA49" i="1"/>
  <c r="AE49" i="1" s="1"/>
  <c r="AF49" i="1" s="1"/>
  <c r="AO48" i="1"/>
  <c r="AP48" i="1" s="1"/>
  <c r="AN48" i="1"/>
  <c r="AL48" i="1"/>
  <c r="AD48" i="1"/>
  <c r="AA48" i="1"/>
  <c r="AE48" i="1" s="1"/>
  <c r="AF48" i="1" s="1"/>
  <c r="AO47" i="1"/>
  <c r="AP47" i="1" s="1"/>
  <c r="AN47" i="1"/>
  <c r="AL47" i="1"/>
  <c r="AD47" i="1"/>
  <c r="AA47" i="1"/>
  <c r="AE47" i="1" s="1"/>
  <c r="AF47" i="1" s="1"/>
  <c r="AO46" i="1"/>
  <c r="AP46" i="1" s="1"/>
  <c r="AN46" i="1"/>
  <c r="AL46" i="1"/>
  <c r="AD46" i="1"/>
  <c r="AA46" i="1"/>
  <c r="AE46" i="1" s="1"/>
  <c r="AF46" i="1" s="1"/>
  <c r="AO45" i="1"/>
  <c r="AP45" i="1" s="1"/>
  <c r="AN45" i="1"/>
  <c r="AL45" i="1"/>
  <c r="AD45" i="1"/>
  <c r="AA45" i="1"/>
  <c r="AE45" i="1" s="1"/>
  <c r="AF45" i="1" s="1"/>
  <c r="AO44" i="1"/>
  <c r="AP44" i="1" s="1"/>
  <c r="AN44" i="1"/>
  <c r="AL44" i="1"/>
  <c r="AD44" i="1"/>
  <c r="AA44" i="1"/>
  <c r="AE44" i="1" s="1"/>
  <c r="AF44" i="1" s="1"/>
  <c r="AO43" i="1"/>
  <c r="AP43" i="1" s="1"/>
  <c r="AN43" i="1"/>
  <c r="AL43" i="1"/>
  <c r="AD43" i="1"/>
  <c r="AA43" i="1"/>
  <c r="AE43" i="1" s="1"/>
  <c r="AF43" i="1" s="1"/>
  <c r="AO42" i="1"/>
  <c r="AP42" i="1" s="1"/>
  <c r="AN42" i="1"/>
  <c r="AL42" i="1"/>
  <c r="AD42" i="1"/>
  <c r="AA42" i="1"/>
  <c r="AE42" i="1" s="1"/>
  <c r="AF42" i="1" s="1"/>
  <c r="AO41" i="1"/>
  <c r="AP41" i="1" s="1"/>
  <c r="AN41" i="1"/>
  <c r="AL41" i="1"/>
  <c r="AD41" i="1"/>
  <c r="AA41" i="1"/>
  <c r="AE41" i="1" s="1"/>
  <c r="AF41" i="1" s="1"/>
  <c r="AO40" i="1"/>
  <c r="AP40" i="1" s="1"/>
  <c r="AN40" i="1"/>
  <c r="AL40" i="1"/>
  <c r="AD40" i="1"/>
  <c r="AA40" i="1"/>
  <c r="AE40" i="1" s="1"/>
  <c r="AF40" i="1" s="1"/>
  <c r="AO39" i="1"/>
  <c r="AP39" i="1" s="1"/>
  <c r="AN39" i="1"/>
  <c r="AL39" i="1"/>
  <c r="AD39" i="1"/>
  <c r="AA39" i="1"/>
  <c r="AE39" i="1" s="1"/>
  <c r="AF39" i="1" s="1"/>
  <c r="AO38" i="1"/>
  <c r="AP38" i="1" s="1"/>
  <c r="AN38" i="1"/>
  <c r="AL38" i="1"/>
  <c r="AD38" i="1"/>
  <c r="AA38" i="1"/>
  <c r="AE38" i="1" s="1"/>
  <c r="AF38" i="1" s="1"/>
  <c r="AO37" i="1"/>
  <c r="AP37" i="1" s="1"/>
  <c r="AN37" i="1"/>
  <c r="AL37" i="1"/>
  <c r="AD37" i="1"/>
  <c r="AA37" i="1"/>
  <c r="AE37" i="1" s="1"/>
  <c r="AF37" i="1" s="1"/>
  <c r="AO36" i="1"/>
  <c r="AP36" i="1" s="1"/>
  <c r="AN36" i="1"/>
  <c r="AL36" i="1"/>
  <c r="AD36" i="1"/>
  <c r="AA36" i="1"/>
  <c r="AE36" i="1" s="1"/>
  <c r="AF36" i="1" s="1"/>
  <c r="AO35" i="1"/>
  <c r="AP35" i="1" s="1"/>
  <c r="AN35" i="1"/>
  <c r="AL35" i="1"/>
  <c r="AD35" i="1"/>
  <c r="AA35" i="1"/>
  <c r="AE35" i="1" s="1"/>
  <c r="AF35" i="1" s="1"/>
  <c r="AO34" i="1"/>
  <c r="AP34" i="1" s="1"/>
  <c r="AN34" i="1"/>
  <c r="AL34" i="1"/>
  <c r="AD34" i="1"/>
  <c r="AA34" i="1"/>
  <c r="AE34" i="1" s="1"/>
  <c r="AF34" i="1" s="1"/>
  <c r="AO33" i="1"/>
  <c r="AP33" i="1" s="1"/>
  <c r="AN33" i="1"/>
  <c r="AL33" i="1"/>
  <c r="AD33" i="1"/>
  <c r="AA33" i="1"/>
  <c r="AE33" i="1" s="1"/>
  <c r="AF33" i="1" s="1"/>
  <c r="AO32" i="1"/>
  <c r="AP32" i="1" s="1"/>
  <c r="AN32" i="1"/>
  <c r="AL32" i="1"/>
  <c r="AD32" i="1"/>
  <c r="AA32" i="1"/>
  <c r="AE32" i="1" s="1"/>
  <c r="AF32" i="1" s="1"/>
  <c r="AO31" i="1"/>
  <c r="AP31" i="1" s="1"/>
  <c r="AN31" i="1"/>
  <c r="AL31" i="1"/>
  <c r="AD31" i="1"/>
  <c r="AA31" i="1"/>
  <c r="AE31" i="1" s="1"/>
  <c r="AF31" i="1" s="1"/>
  <c r="AO30" i="1"/>
  <c r="AP30" i="1" s="1"/>
  <c r="AN30" i="1"/>
  <c r="AL30" i="1"/>
  <c r="AD30" i="1"/>
  <c r="AA30" i="1"/>
  <c r="AE30" i="1" s="1"/>
  <c r="AF30" i="1" s="1"/>
  <c r="AO29" i="1"/>
  <c r="AP29" i="1" s="1"/>
  <c r="AN29" i="1"/>
  <c r="AL29" i="1"/>
  <c r="AD29" i="1"/>
  <c r="AA29" i="1"/>
  <c r="AE29" i="1" s="1"/>
  <c r="AF29" i="1" s="1"/>
  <c r="AP28" i="1"/>
  <c r="AN28" i="1"/>
  <c r="AL28" i="1"/>
  <c r="AD28" i="1"/>
  <c r="AA28" i="1"/>
  <c r="AE28" i="1" s="1"/>
  <c r="AF28" i="1" s="1"/>
  <c r="AP27" i="1"/>
  <c r="AN27" i="1"/>
  <c r="AL27" i="1"/>
  <c r="AD27" i="1"/>
  <c r="AA27" i="1"/>
  <c r="AE27" i="1" s="1"/>
  <c r="AF27" i="1" s="1"/>
  <c r="AO26" i="1"/>
  <c r="AP26" i="1" s="1"/>
  <c r="AN26" i="1"/>
  <c r="AL26" i="1"/>
  <c r="AD26" i="1"/>
  <c r="AA26" i="1"/>
  <c r="AE26" i="1" s="1"/>
  <c r="AF26" i="1" s="1"/>
  <c r="AP25" i="1"/>
  <c r="AN25" i="1"/>
  <c r="AL25" i="1"/>
  <c r="AD25" i="1"/>
  <c r="AA25" i="1"/>
  <c r="AE25" i="1" s="1"/>
  <c r="AF25" i="1" s="1"/>
  <c r="AP24" i="1"/>
  <c r="AN24" i="1"/>
  <c r="AL24" i="1"/>
  <c r="AD24" i="1"/>
  <c r="AA24" i="1"/>
  <c r="AE24" i="1" s="1"/>
  <c r="AF24" i="1" s="1"/>
  <c r="AO23" i="1"/>
  <c r="AP23" i="1" s="1"/>
  <c r="AN23" i="1"/>
  <c r="AL23" i="1"/>
  <c r="AD23" i="1"/>
  <c r="AA23" i="1"/>
  <c r="AE23" i="1" s="1"/>
  <c r="AF23" i="1" s="1"/>
  <c r="AO22" i="1"/>
  <c r="AP22" i="1" s="1"/>
  <c r="AN22" i="1"/>
  <c r="AL22" i="1"/>
  <c r="AD22" i="1"/>
  <c r="AA22" i="1"/>
  <c r="AE22" i="1" s="1"/>
  <c r="AF22" i="1" s="1"/>
  <c r="AP21" i="1"/>
  <c r="AN21" i="1"/>
  <c r="AL21" i="1"/>
  <c r="AD21" i="1"/>
  <c r="AA21" i="1"/>
  <c r="AE21" i="1" s="1"/>
  <c r="AF21" i="1" s="1"/>
  <c r="AP20" i="1"/>
  <c r="AN20" i="1"/>
  <c r="AL20" i="1"/>
  <c r="AD20" i="1"/>
  <c r="AA20" i="1"/>
  <c r="AE20" i="1" s="1"/>
  <c r="AF20" i="1" s="1"/>
  <c r="AP19" i="1"/>
  <c r="AN19" i="1"/>
  <c r="AL19" i="1"/>
  <c r="AD19" i="1"/>
  <c r="AA19" i="1"/>
  <c r="AE19" i="1" s="1"/>
  <c r="AF19" i="1" s="1"/>
  <c r="AP18" i="1"/>
  <c r="AN18" i="1"/>
  <c r="AL18" i="1"/>
  <c r="AD18" i="1"/>
  <c r="AA18" i="1"/>
  <c r="AE18" i="1" s="1"/>
  <c r="AF18" i="1" s="1"/>
  <c r="AP17" i="1"/>
  <c r="AN17" i="1"/>
  <c r="AL17" i="1"/>
  <c r="AD17" i="1"/>
  <c r="AA17" i="1"/>
  <c r="AE17" i="1" s="1"/>
  <c r="AF17" i="1" s="1"/>
  <c r="AP16" i="1"/>
  <c r="AN16" i="1"/>
  <c r="AL16" i="1"/>
  <c r="AD16" i="1"/>
  <c r="AA16" i="1"/>
  <c r="AE16" i="1" s="1"/>
  <c r="AF16" i="1" s="1"/>
  <c r="AP15" i="1"/>
  <c r="AN15" i="1"/>
  <c r="AL15" i="1"/>
  <c r="AD15" i="1"/>
  <c r="AA15" i="1"/>
  <c r="AE15" i="1" s="1"/>
  <c r="AF15" i="1" s="1"/>
  <c r="AP14" i="1"/>
  <c r="AN14" i="1"/>
  <c r="AL14" i="1"/>
  <c r="AD14" i="1"/>
  <c r="AA14" i="1"/>
  <c r="AE14" i="1" s="1"/>
  <c r="AF14" i="1" s="1"/>
  <c r="AO13" i="1"/>
  <c r="AP13" i="1" s="1"/>
  <c r="AN13" i="1"/>
  <c r="AL13" i="1"/>
  <c r="AD13" i="1"/>
  <c r="AA13" i="1"/>
  <c r="AE13" i="1" s="1"/>
  <c r="AF13" i="1" s="1"/>
  <c r="AO12" i="1"/>
  <c r="AP12" i="1" s="1"/>
  <c r="AN12" i="1"/>
  <c r="AL12" i="1"/>
  <c r="AD12" i="1"/>
  <c r="AA12" i="1"/>
  <c r="AE12" i="1" s="1"/>
  <c r="AF12" i="1" s="1"/>
  <c r="AO11" i="1"/>
  <c r="AP11" i="1" s="1"/>
  <c r="AN11" i="1"/>
  <c r="AL11" i="1"/>
  <c r="AD11" i="1"/>
  <c r="AA11" i="1"/>
  <c r="AE11" i="1" s="1"/>
  <c r="AF11" i="1" s="1"/>
  <c r="AO10" i="1"/>
  <c r="AP10" i="1" s="1"/>
  <c r="AN10" i="1"/>
  <c r="AL10" i="1"/>
  <c r="AD10" i="1"/>
  <c r="AA10" i="1"/>
  <c r="AE10" i="1" s="1"/>
  <c r="AF10" i="1" s="1"/>
  <c r="AO9" i="1"/>
  <c r="AP9" i="1" s="1"/>
  <c r="AN9" i="1"/>
  <c r="AL9" i="1"/>
  <c r="AD9" i="1"/>
  <c r="AA9" i="1"/>
  <c r="AE9" i="1" s="1"/>
  <c r="AF9" i="1" s="1"/>
  <c r="AO8" i="1"/>
  <c r="AP8" i="1" s="1"/>
  <c r="AN8" i="1"/>
  <c r="AL8" i="1"/>
  <c r="AD8" i="1"/>
  <c r="AA8" i="1"/>
  <c r="AE8" i="1" s="1"/>
  <c r="AF8" i="1" s="1"/>
  <c r="AO7" i="1"/>
  <c r="AP7" i="1" s="1"/>
  <c r="AN7" i="1"/>
  <c r="AL7" i="1"/>
  <c r="AD7" i="1"/>
  <c r="AA7" i="1"/>
  <c r="AE7" i="1" s="1"/>
  <c r="AF7" i="1" s="1"/>
  <c r="AO6" i="1"/>
  <c r="AP6" i="1" s="1"/>
  <c r="AN6" i="1"/>
  <c r="AL6" i="1"/>
  <c r="AD6" i="1"/>
  <c r="AA6" i="1"/>
  <c r="AE6" i="1" s="1"/>
  <c r="AF6" i="1" s="1"/>
  <c r="AO5" i="1"/>
  <c r="AP5" i="1" s="1"/>
  <c r="AN5" i="1"/>
  <c r="AL5" i="1"/>
  <c r="AD5" i="1"/>
  <c r="AA5" i="1"/>
  <c r="AE5" i="1" s="1"/>
  <c r="AF5" i="1" s="1"/>
  <c r="AO4" i="1"/>
  <c r="AP4" i="1" s="1"/>
  <c r="AN4" i="1"/>
  <c r="AL4" i="1"/>
  <c r="AD4" i="1"/>
  <c r="AA4" i="1"/>
  <c r="AE4" i="1" s="1"/>
  <c r="AF4" i="1" s="1"/>
  <c r="AO3" i="1"/>
  <c r="AP3" i="1" s="1"/>
  <c r="AN3" i="1"/>
  <c r="AL3" i="1"/>
  <c r="AD3" i="1"/>
  <c r="AA3" i="1"/>
  <c r="AE3" i="1" s="1"/>
  <c r="AF3" i="1" s="1"/>
  <c r="AA115" i="1" l="1"/>
  <c r="AD115" i="1"/>
  <c r="AL115" i="1"/>
  <c r="AN115" i="1"/>
  <c r="AO115" i="1"/>
  <c r="AP115" i="1" s="1"/>
  <c r="AA116" i="1"/>
  <c r="AD116" i="1"/>
  <c r="AL116" i="1"/>
  <c r="AN116" i="1"/>
  <c r="AO116" i="1"/>
  <c r="AP116" i="1" s="1"/>
  <c r="AA117" i="1"/>
  <c r="AD117" i="1"/>
  <c r="AL117" i="1"/>
  <c r="AN117" i="1"/>
  <c r="AO117" i="1"/>
  <c r="AP117" i="1" s="1"/>
  <c r="AA118" i="1"/>
  <c r="AD118" i="1"/>
  <c r="AL118" i="1"/>
  <c r="AN118" i="1"/>
  <c r="AO118" i="1"/>
  <c r="AP118" i="1" s="1"/>
  <c r="AA119" i="1"/>
  <c r="AD119" i="1"/>
  <c r="AL119" i="1"/>
  <c r="AN119" i="1"/>
  <c r="AO119" i="1"/>
  <c r="AP119" i="1" s="1"/>
  <c r="AA120" i="1"/>
  <c r="AD120" i="1"/>
  <c r="AL120" i="1"/>
  <c r="AN120" i="1"/>
  <c r="AO120" i="1"/>
  <c r="AP120" i="1" s="1"/>
  <c r="AA121" i="1"/>
  <c r="AD121" i="1"/>
  <c r="AL121" i="1"/>
  <c r="AN121" i="1"/>
  <c r="AO121" i="1"/>
  <c r="AP121" i="1" s="1"/>
  <c r="AA122" i="1"/>
  <c r="AD122" i="1"/>
  <c r="AL122" i="1"/>
  <c r="AN122" i="1"/>
  <c r="AO122" i="1"/>
  <c r="AP122" i="1" s="1"/>
  <c r="AA123" i="1"/>
  <c r="AD123" i="1"/>
  <c r="AL123" i="1"/>
  <c r="AN123" i="1"/>
  <c r="AO123" i="1"/>
  <c r="AP123" i="1" s="1"/>
  <c r="AA124" i="1"/>
  <c r="AD124" i="1"/>
  <c r="AL124" i="1"/>
  <c r="AN124" i="1"/>
  <c r="AO124" i="1"/>
  <c r="AP124" i="1" s="1"/>
  <c r="AA125" i="1"/>
  <c r="AD125" i="1"/>
  <c r="AL125" i="1"/>
  <c r="AN125" i="1"/>
  <c r="AO125" i="1"/>
  <c r="AP125" i="1" s="1"/>
  <c r="AA126" i="1"/>
  <c r="AD126" i="1"/>
  <c r="AL126" i="1"/>
  <c r="AN126" i="1"/>
  <c r="AO126" i="1"/>
  <c r="AP126" i="1" s="1"/>
  <c r="AA127" i="1"/>
  <c r="AD127" i="1"/>
  <c r="AL127" i="1"/>
  <c r="AN127" i="1"/>
  <c r="AO127" i="1"/>
  <c r="AP127" i="1" s="1"/>
  <c r="AA128" i="1"/>
  <c r="AD128" i="1"/>
  <c r="AL128" i="1"/>
  <c r="AN128" i="1"/>
  <c r="AO128" i="1"/>
  <c r="AP128" i="1" s="1"/>
  <c r="AA129" i="1"/>
  <c r="AD129" i="1"/>
  <c r="AL129" i="1"/>
  <c r="AN129" i="1"/>
  <c r="AO129" i="1"/>
  <c r="AP129" i="1" s="1"/>
  <c r="AA130" i="1"/>
  <c r="AD130" i="1"/>
  <c r="AL130" i="1"/>
  <c r="AN130" i="1"/>
  <c r="AO130" i="1"/>
  <c r="AP130" i="1" s="1"/>
  <c r="AA131" i="1"/>
  <c r="AD131" i="1"/>
  <c r="AL131" i="1"/>
  <c r="AN131" i="1"/>
  <c r="AO131" i="1"/>
  <c r="AP131" i="1" s="1"/>
  <c r="AA132" i="1"/>
  <c r="AD132" i="1"/>
  <c r="AL132" i="1"/>
  <c r="AN132" i="1"/>
  <c r="AO132" i="1"/>
  <c r="AP132" i="1" s="1"/>
  <c r="AA133" i="1"/>
  <c r="AD133" i="1"/>
  <c r="AL133" i="1"/>
  <c r="AN133" i="1"/>
  <c r="AO133" i="1"/>
  <c r="AP133" i="1" s="1"/>
  <c r="AA134" i="1"/>
  <c r="AD134" i="1"/>
  <c r="AL134" i="1"/>
  <c r="AN134" i="1"/>
  <c r="AO134" i="1"/>
  <c r="AP134" i="1" s="1"/>
  <c r="AA135" i="1"/>
  <c r="AD135" i="1"/>
  <c r="AL135" i="1"/>
  <c r="AN135" i="1"/>
  <c r="AO135" i="1"/>
  <c r="AP135" i="1" s="1"/>
  <c r="AA136" i="1"/>
  <c r="AD136" i="1"/>
  <c r="AL136" i="1"/>
  <c r="AN136" i="1"/>
  <c r="AO136" i="1"/>
  <c r="AP136" i="1" s="1"/>
  <c r="AA137" i="1"/>
  <c r="AD137" i="1"/>
  <c r="AL137" i="1"/>
  <c r="AN137" i="1"/>
  <c r="AO137" i="1"/>
  <c r="AP137" i="1" s="1"/>
  <c r="AA138" i="1"/>
  <c r="AD138" i="1"/>
  <c r="AL138" i="1"/>
  <c r="AN138" i="1"/>
  <c r="AO138" i="1"/>
  <c r="AP138" i="1" s="1"/>
  <c r="AA139" i="1"/>
  <c r="AD139" i="1"/>
  <c r="AL139" i="1"/>
  <c r="AN139" i="1"/>
  <c r="AO139" i="1"/>
  <c r="AP139" i="1" s="1"/>
  <c r="AA140" i="1"/>
  <c r="AD140" i="1"/>
  <c r="AL140" i="1"/>
  <c r="AN140" i="1"/>
  <c r="AO140" i="1"/>
  <c r="AP140" i="1" s="1"/>
  <c r="AA141" i="1"/>
  <c r="AD141" i="1"/>
  <c r="AL141" i="1"/>
  <c r="AN141" i="1"/>
  <c r="AO141" i="1"/>
  <c r="AP141" i="1" s="1"/>
  <c r="AA142" i="1"/>
  <c r="AD142" i="1"/>
  <c r="AL142" i="1"/>
  <c r="AN142" i="1"/>
  <c r="AO142" i="1"/>
  <c r="AP142" i="1" s="1"/>
  <c r="AA143" i="1"/>
  <c r="AD143" i="1"/>
  <c r="AL143" i="1"/>
  <c r="AN143" i="1"/>
  <c r="AO143" i="1"/>
  <c r="AP143" i="1" s="1"/>
  <c r="AA144" i="1"/>
  <c r="AD144" i="1"/>
  <c r="AL144" i="1"/>
  <c r="AN144" i="1"/>
  <c r="AO144" i="1"/>
  <c r="AP144" i="1" s="1"/>
  <c r="AA145" i="1"/>
  <c r="AD145" i="1"/>
  <c r="AL145" i="1"/>
  <c r="AN145" i="1"/>
  <c r="AO145" i="1"/>
  <c r="AP145" i="1" s="1"/>
  <c r="AA146" i="1"/>
  <c r="AD146" i="1"/>
  <c r="AL146" i="1"/>
  <c r="AN146" i="1"/>
  <c r="AO146" i="1"/>
  <c r="AP146" i="1" s="1"/>
  <c r="AA147" i="1"/>
  <c r="AD147" i="1"/>
  <c r="AL147" i="1"/>
  <c r="AN147" i="1"/>
  <c r="AO147" i="1"/>
  <c r="AP147" i="1" s="1"/>
  <c r="AA148" i="1"/>
  <c r="AD148" i="1"/>
  <c r="AL148" i="1"/>
  <c r="AN148" i="1"/>
  <c r="AO148" i="1"/>
  <c r="AP148" i="1" s="1"/>
  <c r="AA149" i="1"/>
  <c r="AD149" i="1"/>
  <c r="AL149" i="1"/>
  <c r="AN149" i="1"/>
  <c r="AO149" i="1"/>
  <c r="AP149" i="1" s="1"/>
  <c r="AA150" i="1"/>
  <c r="AD150" i="1"/>
  <c r="AL150" i="1"/>
  <c r="AN150" i="1"/>
  <c r="AO150" i="1"/>
  <c r="AP150" i="1" s="1"/>
  <c r="AA151" i="1"/>
  <c r="AD151" i="1"/>
  <c r="AL151" i="1"/>
  <c r="AN151" i="1"/>
  <c r="AO151" i="1"/>
  <c r="AP151" i="1" s="1"/>
  <c r="AA152" i="1"/>
  <c r="AD152" i="1"/>
  <c r="AL152" i="1"/>
  <c r="AN152" i="1"/>
  <c r="AO152" i="1"/>
  <c r="AP152" i="1" s="1"/>
  <c r="AA153" i="1"/>
  <c r="AD153" i="1"/>
  <c r="AL153" i="1"/>
  <c r="AN153" i="1"/>
  <c r="AO153" i="1"/>
  <c r="AP153" i="1" s="1"/>
  <c r="AA154" i="1"/>
  <c r="AD154" i="1"/>
  <c r="AL154" i="1"/>
  <c r="AN154" i="1"/>
  <c r="AO154" i="1"/>
  <c r="AP154" i="1" s="1"/>
  <c r="AA155" i="1"/>
  <c r="AD155" i="1"/>
  <c r="AL155" i="1"/>
  <c r="AN155" i="1"/>
  <c r="AO155" i="1"/>
  <c r="AP155" i="1" s="1"/>
  <c r="AA156" i="1"/>
  <c r="AD156" i="1"/>
  <c r="AL156" i="1"/>
  <c r="AN156" i="1"/>
  <c r="AO156" i="1"/>
  <c r="AP156" i="1" s="1"/>
  <c r="AA157" i="1"/>
  <c r="AD157" i="1"/>
  <c r="AL157" i="1"/>
  <c r="AN157" i="1"/>
  <c r="AO157" i="1"/>
  <c r="AP157" i="1" s="1"/>
  <c r="AA158" i="1"/>
  <c r="AD158" i="1"/>
  <c r="AL158" i="1"/>
  <c r="AN158" i="1"/>
  <c r="AO158" i="1"/>
  <c r="AP158" i="1" s="1"/>
  <c r="AA159" i="1"/>
  <c r="AD159" i="1"/>
  <c r="AL159" i="1"/>
  <c r="AN159" i="1"/>
  <c r="AO159" i="1"/>
  <c r="AP159" i="1" s="1"/>
  <c r="AA160" i="1"/>
  <c r="AD160" i="1"/>
  <c r="AL160" i="1"/>
  <c r="AN160" i="1"/>
  <c r="AO160" i="1"/>
  <c r="AP160" i="1" s="1"/>
  <c r="AA161" i="1"/>
  <c r="AD161" i="1"/>
  <c r="AL161" i="1"/>
  <c r="AN161" i="1"/>
  <c r="AO161" i="1"/>
  <c r="AP161" i="1" s="1"/>
  <c r="AA162" i="1"/>
  <c r="AD162" i="1"/>
  <c r="AL162" i="1"/>
  <c r="AN162" i="1"/>
  <c r="AO162" i="1"/>
  <c r="AP162" i="1" s="1"/>
  <c r="AA163" i="1"/>
  <c r="AD163" i="1"/>
  <c r="AL163" i="1"/>
  <c r="AN163" i="1"/>
  <c r="AO163" i="1"/>
  <c r="AP163" i="1" s="1"/>
  <c r="AA164" i="1"/>
  <c r="AD164" i="1"/>
  <c r="AL164" i="1"/>
  <c r="AN164" i="1"/>
  <c r="AO164" i="1"/>
  <c r="AP164" i="1" s="1"/>
  <c r="AA165" i="1"/>
  <c r="AD165" i="1"/>
  <c r="AL165" i="1"/>
  <c r="AN165" i="1"/>
  <c r="AO165" i="1"/>
  <c r="AP165" i="1" s="1"/>
  <c r="AA166" i="1"/>
  <c r="AD166" i="1"/>
  <c r="AL166" i="1"/>
  <c r="AN166" i="1"/>
  <c r="AO166" i="1"/>
  <c r="AP166" i="1" s="1"/>
  <c r="AA167" i="1"/>
  <c r="AD167" i="1"/>
  <c r="AL167" i="1"/>
  <c r="AN167" i="1"/>
  <c r="AO167" i="1"/>
  <c r="AP167" i="1" s="1"/>
  <c r="AA168" i="1"/>
  <c r="AD168" i="1"/>
  <c r="AL168" i="1"/>
  <c r="AN168" i="1"/>
  <c r="AO168" i="1"/>
  <c r="AP168" i="1" s="1"/>
  <c r="AA169" i="1"/>
  <c r="AD169" i="1"/>
  <c r="AL169" i="1"/>
  <c r="AN169" i="1"/>
  <c r="AO169" i="1"/>
  <c r="AP169" i="1" s="1"/>
  <c r="AA170" i="1"/>
  <c r="AD170" i="1"/>
  <c r="AL170" i="1"/>
  <c r="AN170" i="1"/>
  <c r="AO170" i="1"/>
  <c r="AP170" i="1" s="1"/>
  <c r="AA171" i="1"/>
  <c r="AD171" i="1"/>
  <c r="AL171" i="1"/>
  <c r="AN171" i="1"/>
  <c r="AO171" i="1"/>
  <c r="AP171" i="1" s="1"/>
  <c r="AA172" i="1"/>
  <c r="AD172" i="1"/>
  <c r="AL172" i="1"/>
  <c r="AN172" i="1"/>
  <c r="AO172" i="1"/>
  <c r="AP172" i="1" s="1"/>
  <c r="AA173" i="1"/>
  <c r="AD173" i="1"/>
  <c r="AL173" i="1"/>
  <c r="AN173" i="1"/>
  <c r="AO173" i="1"/>
  <c r="AP173" i="1" s="1"/>
  <c r="AA174" i="1"/>
  <c r="AD174" i="1"/>
  <c r="AL174" i="1"/>
  <c r="AN174" i="1"/>
  <c r="AO174" i="1"/>
  <c r="AP174" i="1" s="1"/>
  <c r="AA175" i="1"/>
  <c r="AD175" i="1"/>
  <c r="AL175" i="1"/>
  <c r="AN175" i="1"/>
  <c r="AO175" i="1"/>
  <c r="AP175" i="1" s="1"/>
  <c r="AA176" i="1"/>
  <c r="AD176" i="1"/>
  <c r="AL176" i="1"/>
  <c r="AN176" i="1"/>
  <c r="AO176" i="1"/>
  <c r="AP176" i="1" s="1"/>
  <c r="AA177" i="1"/>
  <c r="AD177" i="1"/>
  <c r="AL177" i="1"/>
  <c r="AN177" i="1"/>
  <c r="AO177" i="1"/>
  <c r="AP177" i="1" s="1"/>
  <c r="AA178" i="1"/>
  <c r="AD178" i="1"/>
  <c r="AL178" i="1"/>
  <c r="AN178" i="1"/>
  <c r="AO178" i="1"/>
  <c r="AP178" i="1" s="1"/>
  <c r="AA179" i="1"/>
  <c r="AD179" i="1"/>
  <c r="AL179" i="1"/>
  <c r="AN179" i="1"/>
  <c r="AO179" i="1"/>
  <c r="AP179" i="1" s="1"/>
  <c r="AA180" i="1"/>
  <c r="AD180" i="1"/>
  <c r="AL180" i="1"/>
  <c r="AN180" i="1"/>
  <c r="AO180" i="1"/>
  <c r="AP180" i="1" s="1"/>
  <c r="AA181" i="1"/>
  <c r="AD181" i="1"/>
  <c r="AL181" i="1"/>
  <c r="AN181" i="1"/>
  <c r="AO181" i="1"/>
  <c r="AP181" i="1" s="1"/>
  <c r="AA182" i="1"/>
  <c r="AD182" i="1"/>
  <c r="AL182" i="1"/>
  <c r="AN182" i="1"/>
  <c r="AO182" i="1"/>
  <c r="AP182" i="1" s="1"/>
  <c r="AA183" i="1"/>
  <c r="AD183" i="1"/>
  <c r="AL183" i="1"/>
  <c r="AN183" i="1"/>
  <c r="AO183" i="1"/>
  <c r="AP183" i="1" s="1"/>
  <c r="AA184" i="1"/>
  <c r="AD184" i="1"/>
  <c r="AL184" i="1"/>
  <c r="AN184" i="1"/>
  <c r="AO184" i="1"/>
  <c r="AP184" i="1" s="1"/>
  <c r="AA185" i="1"/>
  <c r="AD185" i="1"/>
  <c r="AL185" i="1"/>
  <c r="AN185" i="1"/>
  <c r="AO185" i="1"/>
  <c r="AP185" i="1" s="1"/>
  <c r="AA186" i="1"/>
  <c r="AD186" i="1"/>
  <c r="AL186" i="1"/>
  <c r="AN186" i="1"/>
  <c r="AO186" i="1"/>
  <c r="AP186" i="1" s="1"/>
  <c r="AA187" i="1"/>
  <c r="AD187" i="1"/>
  <c r="AL187" i="1"/>
  <c r="AN187" i="1"/>
  <c r="AO187" i="1"/>
  <c r="AP187" i="1" s="1"/>
  <c r="AA188" i="1"/>
  <c r="AD188" i="1"/>
  <c r="AL188" i="1"/>
  <c r="AN188" i="1"/>
  <c r="AO188" i="1"/>
  <c r="AP188" i="1" s="1"/>
  <c r="AA189" i="1"/>
  <c r="AD189" i="1"/>
  <c r="AL189" i="1"/>
  <c r="AN189" i="1"/>
  <c r="AO189" i="1"/>
  <c r="AP189" i="1" s="1"/>
  <c r="AA190" i="1"/>
  <c r="AD190" i="1"/>
  <c r="AL190" i="1"/>
  <c r="AN190" i="1"/>
  <c r="AO190" i="1"/>
  <c r="AP190" i="1" s="1"/>
  <c r="AA191" i="1"/>
  <c r="AD191" i="1"/>
  <c r="AL191" i="1"/>
  <c r="AN191" i="1"/>
  <c r="AO191" i="1"/>
  <c r="AP191" i="1" s="1"/>
  <c r="AA192" i="1"/>
  <c r="AD192" i="1"/>
  <c r="AL192" i="1"/>
  <c r="AN192" i="1"/>
  <c r="AO192" i="1"/>
  <c r="AP192" i="1" s="1"/>
  <c r="AA193" i="1"/>
  <c r="AD193" i="1"/>
  <c r="AL193" i="1"/>
  <c r="AN193" i="1"/>
  <c r="AO193" i="1"/>
  <c r="AP193" i="1" s="1"/>
  <c r="AA194" i="1"/>
  <c r="AD194" i="1"/>
  <c r="AL194" i="1"/>
  <c r="AN194" i="1"/>
  <c r="AO194" i="1"/>
  <c r="AP194" i="1" s="1"/>
  <c r="AA195" i="1"/>
  <c r="AD195" i="1"/>
  <c r="AL195" i="1"/>
  <c r="AN195" i="1"/>
  <c r="AO195" i="1"/>
  <c r="AP195" i="1" s="1"/>
  <c r="AA196" i="1"/>
  <c r="AD196" i="1"/>
  <c r="AL196" i="1"/>
  <c r="AN196" i="1"/>
  <c r="AO196" i="1"/>
  <c r="AP196" i="1" s="1"/>
  <c r="AA197" i="1"/>
  <c r="AD197" i="1"/>
  <c r="AL197" i="1"/>
  <c r="AN197" i="1"/>
  <c r="AO197" i="1"/>
  <c r="AP197" i="1" s="1"/>
  <c r="AA198" i="1"/>
  <c r="AD198" i="1"/>
  <c r="AL198" i="1"/>
  <c r="AN198" i="1"/>
  <c r="AO198" i="1"/>
  <c r="AP198" i="1" s="1"/>
  <c r="AA199" i="1"/>
  <c r="AD199" i="1"/>
  <c r="AL199" i="1"/>
  <c r="AN199" i="1"/>
  <c r="AO199" i="1"/>
  <c r="AP199" i="1" s="1"/>
  <c r="AA200" i="1"/>
  <c r="AD200" i="1"/>
  <c r="AL200" i="1"/>
  <c r="AN200" i="1"/>
  <c r="AO200" i="1"/>
  <c r="AP200" i="1" s="1"/>
  <c r="AA201" i="1"/>
  <c r="AD201" i="1"/>
  <c r="AL201" i="1"/>
  <c r="AN201" i="1"/>
  <c r="AO201" i="1"/>
  <c r="AP201" i="1" s="1"/>
  <c r="AA202" i="1"/>
  <c r="AD202" i="1"/>
  <c r="AL202" i="1"/>
  <c r="AN202" i="1"/>
  <c r="AO202" i="1"/>
  <c r="AP202" i="1" s="1"/>
  <c r="AA203" i="1"/>
  <c r="AD203" i="1"/>
  <c r="AL203" i="1"/>
  <c r="AN203" i="1"/>
  <c r="AO203" i="1"/>
  <c r="AP203" i="1" s="1"/>
  <c r="AA204" i="1"/>
  <c r="AD204" i="1"/>
  <c r="AL204" i="1"/>
  <c r="AN204" i="1"/>
  <c r="AO204" i="1"/>
  <c r="AP204" i="1" s="1"/>
  <c r="AA205" i="1"/>
  <c r="AD205" i="1"/>
  <c r="AL205" i="1"/>
  <c r="AN205" i="1"/>
  <c r="AO205" i="1"/>
  <c r="AP205" i="1" s="1"/>
  <c r="AA206" i="1"/>
  <c r="AD206" i="1"/>
  <c r="AL206" i="1"/>
  <c r="AN206" i="1"/>
  <c r="AO206" i="1"/>
  <c r="AP206" i="1" s="1"/>
  <c r="AA207" i="1"/>
  <c r="AD207" i="1"/>
  <c r="AL207" i="1"/>
  <c r="AN207" i="1"/>
  <c r="AO207" i="1"/>
  <c r="AP207" i="1" s="1"/>
  <c r="AA208" i="1"/>
  <c r="AD208" i="1"/>
  <c r="AL208" i="1"/>
  <c r="AN208" i="1"/>
  <c r="AO208" i="1"/>
  <c r="AP208" i="1" s="1"/>
  <c r="AA209" i="1"/>
  <c r="AD209" i="1"/>
  <c r="AL209" i="1"/>
  <c r="AN209" i="1"/>
  <c r="AO209" i="1"/>
  <c r="AP209" i="1" s="1"/>
  <c r="AA210" i="1"/>
  <c r="AD210" i="1"/>
  <c r="AL210" i="1"/>
  <c r="AN210" i="1"/>
  <c r="AO210" i="1"/>
  <c r="AP210" i="1" s="1"/>
  <c r="AA211" i="1"/>
  <c r="AD211" i="1"/>
  <c r="AL211" i="1"/>
  <c r="AN211" i="1"/>
  <c r="AO211" i="1"/>
  <c r="AP211" i="1" s="1"/>
  <c r="AA212" i="1"/>
  <c r="AD212" i="1"/>
  <c r="AL212" i="1"/>
  <c r="AN212" i="1"/>
  <c r="AO212" i="1"/>
  <c r="AP212" i="1" s="1"/>
  <c r="AA213" i="1"/>
  <c r="AD213" i="1"/>
  <c r="AL213" i="1"/>
  <c r="AN213" i="1"/>
  <c r="AO213" i="1"/>
  <c r="AP213" i="1" s="1"/>
  <c r="AA214" i="1"/>
  <c r="AD214" i="1"/>
  <c r="AL214" i="1"/>
  <c r="AN214" i="1"/>
  <c r="AO214" i="1"/>
  <c r="AP214" i="1" s="1"/>
  <c r="AA215" i="1"/>
  <c r="AD215" i="1"/>
  <c r="AL215" i="1"/>
  <c r="AN215" i="1"/>
  <c r="AO215" i="1"/>
  <c r="AP215" i="1" s="1"/>
  <c r="AA216" i="1"/>
  <c r="AD216" i="1"/>
  <c r="AL216" i="1"/>
  <c r="AN216" i="1"/>
  <c r="AO216" i="1"/>
  <c r="AP216" i="1" s="1"/>
  <c r="AA217" i="1"/>
  <c r="AD217" i="1"/>
  <c r="AL217" i="1"/>
  <c r="AN217" i="1"/>
  <c r="AO217" i="1"/>
  <c r="AP217" i="1" s="1"/>
  <c r="AA218" i="1"/>
  <c r="AD218" i="1"/>
  <c r="AL218" i="1"/>
  <c r="AN218" i="1"/>
  <c r="AO218" i="1"/>
  <c r="AP218" i="1" s="1"/>
  <c r="AA219" i="1"/>
  <c r="AD219" i="1"/>
  <c r="AL219" i="1"/>
  <c r="AN219" i="1"/>
  <c r="AO219" i="1"/>
  <c r="AP219" i="1" s="1"/>
  <c r="AA220" i="1"/>
  <c r="AD220" i="1"/>
  <c r="AL220" i="1"/>
  <c r="AN220" i="1"/>
  <c r="AO220" i="1"/>
  <c r="AP220" i="1" s="1"/>
  <c r="AA221" i="1"/>
  <c r="AD221" i="1"/>
  <c r="AL221" i="1"/>
  <c r="AN221" i="1"/>
  <c r="AO221" i="1"/>
  <c r="AP221" i="1" s="1"/>
  <c r="AA222" i="1"/>
  <c r="AD222" i="1"/>
  <c r="AL222" i="1"/>
  <c r="AN222" i="1"/>
  <c r="AO222" i="1"/>
  <c r="AP222" i="1" s="1"/>
  <c r="AA223" i="1"/>
  <c r="AD223" i="1"/>
  <c r="AL223" i="1"/>
  <c r="AN223" i="1"/>
  <c r="AO223" i="1"/>
  <c r="AP223" i="1" s="1"/>
  <c r="AA224" i="1"/>
  <c r="AD224" i="1"/>
  <c r="AL224" i="1"/>
  <c r="AN224" i="1"/>
  <c r="AO224" i="1"/>
  <c r="AP224" i="1" s="1"/>
  <c r="AA225" i="1"/>
  <c r="AD225" i="1"/>
  <c r="AL225" i="1"/>
  <c r="AN225" i="1"/>
  <c r="AO225" i="1"/>
  <c r="AP225" i="1" s="1"/>
  <c r="AA226" i="1"/>
  <c r="AD226" i="1"/>
  <c r="AL226" i="1"/>
  <c r="AN226" i="1"/>
  <c r="AO226" i="1"/>
  <c r="AP226" i="1" s="1"/>
  <c r="AA227" i="1"/>
  <c r="AD227" i="1"/>
  <c r="AL227" i="1"/>
  <c r="AN227" i="1"/>
  <c r="AO227" i="1"/>
  <c r="AP227" i="1" s="1"/>
  <c r="AA228" i="1"/>
  <c r="AD228" i="1"/>
  <c r="AL228" i="1"/>
  <c r="AN228" i="1"/>
  <c r="AO228" i="1"/>
  <c r="AP228" i="1" s="1"/>
  <c r="AA229" i="1"/>
  <c r="AD229" i="1"/>
  <c r="AL229" i="1"/>
  <c r="AN229" i="1"/>
  <c r="AO229" i="1"/>
  <c r="AP229" i="1" s="1"/>
  <c r="AA230" i="1"/>
  <c r="AD230" i="1"/>
  <c r="AL230" i="1"/>
  <c r="AN230" i="1"/>
  <c r="AO230" i="1"/>
  <c r="AP230" i="1" s="1"/>
  <c r="AA231" i="1"/>
  <c r="AD231" i="1"/>
  <c r="AL231" i="1"/>
  <c r="AN231" i="1"/>
  <c r="AO231" i="1"/>
  <c r="AP231" i="1" s="1"/>
  <c r="AA232" i="1"/>
  <c r="AD232" i="1"/>
  <c r="AL232" i="1"/>
  <c r="AN232" i="1"/>
  <c r="AO232" i="1"/>
  <c r="AP232" i="1" s="1"/>
  <c r="AA233" i="1"/>
  <c r="AD233" i="1"/>
  <c r="AL233" i="1"/>
  <c r="AN233" i="1"/>
  <c r="AO233" i="1"/>
  <c r="AP233" i="1" s="1"/>
  <c r="AA234" i="1"/>
  <c r="AD234" i="1"/>
  <c r="AL234" i="1"/>
  <c r="AN234" i="1"/>
  <c r="AO234" i="1"/>
  <c r="AP234" i="1" s="1"/>
  <c r="AA235" i="1"/>
  <c r="AD235" i="1"/>
  <c r="AL235" i="1"/>
  <c r="AN235" i="1"/>
  <c r="AO235" i="1"/>
  <c r="AP235" i="1" s="1"/>
  <c r="AA236" i="1"/>
  <c r="AD236" i="1"/>
  <c r="AL236" i="1"/>
  <c r="AN236" i="1"/>
  <c r="AO236" i="1"/>
  <c r="AP236" i="1" s="1"/>
  <c r="AA237" i="1"/>
  <c r="AD237" i="1"/>
  <c r="AL237" i="1"/>
  <c r="AN237" i="1"/>
  <c r="AO237" i="1"/>
  <c r="AP237" i="1" s="1"/>
  <c r="AA238" i="1"/>
  <c r="AD238" i="1"/>
  <c r="AL238" i="1"/>
  <c r="AN238" i="1"/>
  <c r="AO238" i="1"/>
  <c r="AP238" i="1" s="1"/>
  <c r="AA239" i="1"/>
  <c r="AD239" i="1"/>
  <c r="AL239" i="1"/>
  <c r="AN239" i="1"/>
  <c r="AO239" i="1"/>
  <c r="AP239" i="1" s="1"/>
  <c r="AA240" i="1"/>
  <c r="AD240" i="1"/>
  <c r="AL240" i="1"/>
  <c r="AN240" i="1"/>
  <c r="AO240" i="1"/>
  <c r="AP240" i="1" s="1"/>
  <c r="AA241" i="1"/>
  <c r="AD241" i="1"/>
  <c r="AL241" i="1"/>
  <c r="AN241" i="1"/>
  <c r="AO241" i="1"/>
  <c r="AP241" i="1" s="1"/>
  <c r="AA242" i="1"/>
  <c r="AD242" i="1"/>
  <c r="AL242" i="1"/>
  <c r="AN242" i="1"/>
  <c r="AO242" i="1"/>
  <c r="AP242" i="1" s="1"/>
  <c r="AA243" i="1"/>
  <c r="AD243" i="1"/>
  <c r="AL243" i="1"/>
  <c r="AN243" i="1"/>
  <c r="AO243" i="1"/>
  <c r="AP243" i="1" s="1"/>
  <c r="AA244" i="1"/>
  <c r="AD244" i="1"/>
  <c r="AL244" i="1"/>
  <c r="AN244" i="1"/>
  <c r="AO244" i="1"/>
  <c r="AP244" i="1" s="1"/>
  <c r="AA245" i="1"/>
  <c r="AD245" i="1"/>
  <c r="AL245" i="1"/>
  <c r="AN245" i="1"/>
  <c r="AO245" i="1"/>
  <c r="AP245" i="1" s="1"/>
  <c r="AA246" i="1"/>
  <c r="AD246" i="1"/>
  <c r="AL246" i="1"/>
  <c r="AN246" i="1"/>
  <c r="AO246" i="1"/>
  <c r="AP246" i="1" s="1"/>
  <c r="AA247" i="1"/>
  <c r="AD247" i="1"/>
  <c r="AL247" i="1"/>
  <c r="AN247" i="1"/>
  <c r="AO247" i="1"/>
  <c r="AP247" i="1" s="1"/>
  <c r="AA248" i="1"/>
  <c r="AD248" i="1"/>
  <c r="AL248" i="1"/>
  <c r="AN248" i="1"/>
  <c r="AO248" i="1"/>
  <c r="AP248" i="1" s="1"/>
  <c r="AA249" i="1"/>
  <c r="AD249" i="1"/>
  <c r="AL249" i="1"/>
  <c r="AN249" i="1"/>
  <c r="AO249" i="1"/>
  <c r="AP249" i="1" s="1"/>
  <c r="AA250" i="1"/>
  <c r="AD250" i="1"/>
  <c r="AL250" i="1"/>
  <c r="AN250" i="1"/>
  <c r="AO250" i="1"/>
  <c r="AP250" i="1" s="1"/>
  <c r="AA251" i="1"/>
  <c r="AD251" i="1"/>
  <c r="AL251" i="1"/>
  <c r="AN251" i="1"/>
  <c r="AO251" i="1"/>
  <c r="AP251" i="1" s="1"/>
  <c r="AA252" i="1"/>
  <c r="AD252" i="1"/>
  <c r="AL252" i="1"/>
  <c r="AN252" i="1"/>
  <c r="AO252" i="1"/>
  <c r="AP252" i="1" s="1"/>
  <c r="AA253" i="1"/>
  <c r="AD253" i="1"/>
  <c r="AL253" i="1"/>
  <c r="AN253" i="1"/>
  <c r="AO253" i="1"/>
  <c r="AP253" i="1" s="1"/>
  <c r="AA254" i="1"/>
  <c r="AD254" i="1"/>
  <c r="AL254" i="1"/>
  <c r="AN254" i="1"/>
  <c r="AO254" i="1"/>
  <c r="AP254" i="1" s="1"/>
  <c r="AA255" i="1"/>
  <c r="AD255" i="1"/>
  <c r="AL255" i="1"/>
  <c r="AN255" i="1"/>
  <c r="AO255" i="1"/>
  <c r="AP255" i="1" s="1"/>
  <c r="AA256" i="1"/>
  <c r="AD256" i="1"/>
  <c r="AL256" i="1"/>
  <c r="AN256" i="1"/>
  <c r="AO256" i="1"/>
  <c r="AP256" i="1" s="1"/>
  <c r="AA257" i="1"/>
  <c r="AD257" i="1"/>
  <c r="AL257" i="1"/>
  <c r="AN257" i="1"/>
  <c r="AO257" i="1"/>
  <c r="AP257" i="1" s="1"/>
  <c r="AA258" i="1"/>
  <c r="AD258" i="1"/>
  <c r="AL258" i="1"/>
  <c r="AN258" i="1"/>
  <c r="AO258" i="1"/>
  <c r="AP258" i="1" s="1"/>
  <c r="AA259" i="1"/>
  <c r="AD259" i="1"/>
  <c r="AL259" i="1"/>
  <c r="AN259" i="1"/>
  <c r="AO259" i="1"/>
  <c r="AP259" i="1" s="1"/>
  <c r="AA260" i="1"/>
  <c r="AD260" i="1"/>
  <c r="AL260" i="1"/>
  <c r="AN260" i="1"/>
  <c r="AO260" i="1"/>
  <c r="AP260" i="1" s="1"/>
  <c r="AA261" i="1"/>
  <c r="AD261" i="1"/>
  <c r="AL261" i="1"/>
  <c r="AN261" i="1"/>
  <c r="AO261" i="1"/>
  <c r="AP261" i="1" s="1"/>
  <c r="AA262" i="1"/>
  <c r="AD262" i="1"/>
  <c r="AL262" i="1"/>
  <c r="AN262" i="1"/>
  <c r="AO262" i="1"/>
  <c r="AP262" i="1" s="1"/>
  <c r="AA263" i="1"/>
  <c r="AD263" i="1"/>
  <c r="AL263" i="1"/>
  <c r="AN263" i="1"/>
  <c r="AO263" i="1"/>
  <c r="AP263" i="1" s="1"/>
  <c r="AA264" i="1"/>
  <c r="AD264" i="1"/>
  <c r="AL264" i="1"/>
  <c r="AN264" i="1"/>
  <c r="AO264" i="1"/>
  <c r="AP264" i="1" s="1"/>
  <c r="AA265" i="1"/>
  <c r="AD265" i="1"/>
  <c r="AL265" i="1"/>
  <c r="AN265" i="1"/>
  <c r="AO265" i="1"/>
  <c r="AP265" i="1" s="1"/>
  <c r="AA266" i="1"/>
  <c r="AD266" i="1"/>
  <c r="AL266" i="1"/>
  <c r="AN266" i="1"/>
  <c r="AO266" i="1"/>
  <c r="AP266" i="1" s="1"/>
  <c r="AA267" i="1"/>
  <c r="AD267" i="1"/>
  <c r="AL267" i="1"/>
  <c r="AN267" i="1"/>
  <c r="AO267" i="1"/>
  <c r="AP267" i="1" s="1"/>
  <c r="AA268" i="1"/>
  <c r="AD268" i="1"/>
  <c r="AL268" i="1"/>
  <c r="AN268" i="1"/>
  <c r="AO268" i="1"/>
  <c r="AP268" i="1" s="1"/>
  <c r="AA269" i="1"/>
  <c r="AD269" i="1"/>
  <c r="AL269" i="1"/>
  <c r="AN269" i="1"/>
  <c r="AO269" i="1"/>
  <c r="AP269" i="1" s="1"/>
  <c r="AA270" i="1"/>
  <c r="AD270" i="1"/>
  <c r="AL270" i="1"/>
  <c r="AN270" i="1"/>
  <c r="AO270" i="1"/>
  <c r="AP270" i="1" s="1"/>
  <c r="AA271" i="1"/>
  <c r="AD271" i="1"/>
  <c r="AL271" i="1"/>
  <c r="AN271" i="1"/>
  <c r="AO271" i="1"/>
  <c r="AP271" i="1" s="1"/>
  <c r="AA272" i="1"/>
  <c r="AD272" i="1"/>
  <c r="AL272" i="1"/>
  <c r="AN272" i="1"/>
  <c r="AO272" i="1"/>
  <c r="AP272" i="1" s="1"/>
  <c r="AA273" i="1"/>
  <c r="AD273" i="1"/>
  <c r="AL273" i="1"/>
  <c r="AN273" i="1"/>
  <c r="AO273" i="1"/>
  <c r="AP273" i="1" s="1"/>
  <c r="AA274" i="1"/>
  <c r="AD274" i="1"/>
  <c r="AL274" i="1"/>
  <c r="AN274" i="1"/>
  <c r="AO274" i="1"/>
  <c r="AP274" i="1" s="1"/>
  <c r="AA275" i="1"/>
  <c r="AD275" i="1"/>
  <c r="AL275" i="1"/>
  <c r="AN275" i="1"/>
  <c r="AO275" i="1"/>
  <c r="AP275" i="1" s="1"/>
  <c r="AB275" i="1" l="1"/>
  <c r="AE275" i="1"/>
  <c r="AB274" i="1"/>
  <c r="AE274" i="1"/>
  <c r="AB273" i="1"/>
  <c r="AE273" i="1"/>
  <c r="AF273" i="1" s="1"/>
  <c r="AB272" i="1"/>
  <c r="AE272" i="1"/>
  <c r="AF272" i="1" s="1"/>
  <c r="AB271" i="1"/>
  <c r="AE271" i="1"/>
  <c r="AB270" i="1"/>
  <c r="AE270" i="1"/>
  <c r="AB269" i="1"/>
  <c r="AE269" i="1"/>
  <c r="AB268" i="1"/>
  <c r="AE268" i="1"/>
  <c r="AF268" i="1" s="1"/>
  <c r="AB267" i="1"/>
  <c r="AE267" i="1"/>
  <c r="AB266" i="1"/>
  <c r="AE266" i="1"/>
  <c r="AF266" i="1" s="1"/>
  <c r="AB265" i="1"/>
  <c r="AE265" i="1"/>
  <c r="AB264" i="1"/>
  <c r="AE264" i="1"/>
  <c r="AF264" i="1" s="1"/>
  <c r="AB263" i="1"/>
  <c r="AE263" i="1"/>
  <c r="AB262" i="1"/>
  <c r="AE262" i="1"/>
  <c r="AB261" i="1"/>
  <c r="AE261" i="1"/>
  <c r="AB260" i="1"/>
  <c r="AE260" i="1"/>
  <c r="AF260" i="1" s="1"/>
  <c r="AB259" i="1"/>
  <c r="AE259" i="1"/>
  <c r="AB258" i="1"/>
  <c r="AE258" i="1"/>
  <c r="AF258" i="1" s="1"/>
  <c r="AB257" i="1"/>
  <c r="AE257" i="1"/>
  <c r="AB256" i="1"/>
  <c r="AE256" i="1"/>
  <c r="AF256" i="1" s="1"/>
  <c r="AB255" i="1"/>
  <c r="AE255" i="1"/>
  <c r="AB254" i="1"/>
  <c r="AE254" i="1"/>
  <c r="AB253" i="1"/>
  <c r="AE253" i="1"/>
  <c r="AB252" i="1"/>
  <c r="AE252" i="1"/>
  <c r="AF252" i="1" s="1"/>
  <c r="AB251" i="1"/>
  <c r="AE251" i="1"/>
  <c r="AB250" i="1"/>
  <c r="AE250" i="1"/>
  <c r="AB249" i="1"/>
  <c r="AE249" i="1"/>
  <c r="AB248" i="1"/>
  <c r="AE248" i="1"/>
  <c r="AF248" i="1" s="1"/>
  <c r="AB247" i="1"/>
  <c r="AE247" i="1"/>
  <c r="AB246" i="1"/>
  <c r="AE246" i="1"/>
  <c r="AF246" i="1" s="1"/>
  <c r="AB245" i="1"/>
  <c r="AE245" i="1"/>
  <c r="AB244" i="1"/>
  <c r="AE244" i="1"/>
  <c r="AF244" i="1" s="1"/>
  <c r="AB243" i="1"/>
  <c r="AE243" i="1"/>
  <c r="AF243" i="1" s="1"/>
  <c r="AB242" i="1"/>
  <c r="AE242" i="1"/>
  <c r="AB241" i="1"/>
  <c r="AE241" i="1"/>
  <c r="AB240" i="1"/>
  <c r="AE240" i="1"/>
  <c r="AF240" i="1" s="1"/>
  <c r="AB239" i="1"/>
  <c r="AE239" i="1"/>
  <c r="AB238" i="1"/>
  <c r="AE238" i="1"/>
  <c r="AB237" i="1"/>
  <c r="AE237" i="1"/>
  <c r="AB236" i="1"/>
  <c r="AE236" i="1"/>
  <c r="AF236" i="1" s="1"/>
  <c r="AB235" i="1"/>
  <c r="AE235" i="1"/>
  <c r="AB234" i="1"/>
  <c r="AE234" i="1"/>
  <c r="AB233" i="1"/>
  <c r="AE233" i="1"/>
  <c r="AF233" i="1" s="1"/>
  <c r="AB232" i="1"/>
  <c r="AE232" i="1"/>
  <c r="AB231" i="1"/>
  <c r="AE231" i="1"/>
  <c r="AB230" i="1"/>
  <c r="AE230" i="1"/>
  <c r="AB229" i="1"/>
  <c r="AE229" i="1"/>
  <c r="AB228" i="1"/>
  <c r="AE228" i="1"/>
  <c r="AF228" i="1" s="1"/>
  <c r="AB227" i="1"/>
  <c r="AE227" i="1"/>
  <c r="AB226" i="1"/>
  <c r="AE226" i="1"/>
  <c r="AF226" i="1" s="1"/>
  <c r="AB225" i="1"/>
  <c r="AE225" i="1"/>
  <c r="AB224" i="1"/>
  <c r="AE224" i="1"/>
  <c r="AB223" i="1"/>
  <c r="AE223" i="1"/>
  <c r="AB222" i="1"/>
  <c r="AE222" i="1"/>
  <c r="AB221" i="1"/>
  <c r="AE221" i="1"/>
  <c r="AB220" i="1"/>
  <c r="AE220" i="1"/>
  <c r="AF220" i="1" s="1"/>
  <c r="AB219" i="1"/>
  <c r="AE219" i="1"/>
  <c r="AB218" i="1"/>
  <c r="AE218" i="1"/>
  <c r="AF218" i="1" s="1"/>
  <c r="AB217" i="1"/>
  <c r="AE217" i="1"/>
  <c r="AB216" i="1"/>
  <c r="AE216" i="1"/>
  <c r="AF216" i="1" s="1"/>
  <c r="AB215" i="1"/>
  <c r="AE215" i="1"/>
  <c r="AB214" i="1"/>
  <c r="AE214" i="1"/>
  <c r="AB213" i="1"/>
  <c r="AE213" i="1"/>
  <c r="AB212" i="1"/>
  <c r="AE212" i="1"/>
  <c r="AB211" i="1"/>
  <c r="AE211" i="1"/>
  <c r="AF211" i="1" s="1"/>
  <c r="AB210" i="1"/>
  <c r="AE210" i="1"/>
  <c r="AF210" i="1" s="1"/>
  <c r="AB209" i="1"/>
  <c r="AE209" i="1"/>
  <c r="AB208" i="1"/>
  <c r="AE208" i="1"/>
  <c r="AF208" i="1" s="1"/>
  <c r="AB207" i="1"/>
  <c r="AE207" i="1"/>
  <c r="AB206" i="1"/>
  <c r="AE206" i="1"/>
  <c r="AF206" i="1" s="1"/>
  <c r="AB205" i="1"/>
  <c r="AE205" i="1"/>
  <c r="AB204" i="1"/>
  <c r="AE204" i="1"/>
  <c r="AF204" i="1" s="1"/>
  <c r="AB203" i="1"/>
  <c r="AE203" i="1"/>
  <c r="AF203" i="1" s="1"/>
  <c r="AB202" i="1"/>
  <c r="AE202" i="1"/>
  <c r="AB201" i="1"/>
  <c r="AE201" i="1"/>
  <c r="AF201" i="1" s="1"/>
  <c r="AB200" i="1"/>
  <c r="AE200" i="1"/>
  <c r="AF200" i="1" s="1"/>
  <c r="AB199" i="1"/>
  <c r="AE199" i="1"/>
  <c r="AB198" i="1"/>
  <c r="AE198" i="1"/>
  <c r="AF198" i="1" s="1"/>
  <c r="AB197" i="1"/>
  <c r="AE197" i="1"/>
  <c r="AB196" i="1"/>
  <c r="AE196" i="1"/>
  <c r="AF196" i="1" s="1"/>
  <c r="AB195" i="1"/>
  <c r="AE195" i="1"/>
  <c r="AB194" i="1"/>
  <c r="AE194" i="1"/>
  <c r="AF194" i="1" s="1"/>
  <c r="AB193" i="1"/>
  <c r="AE193" i="1"/>
  <c r="AF193" i="1" s="1"/>
  <c r="AB192" i="1"/>
  <c r="AE192" i="1"/>
  <c r="AF192" i="1" s="1"/>
  <c r="AB191" i="1"/>
  <c r="AE191" i="1"/>
  <c r="AB190" i="1"/>
  <c r="AE190" i="1"/>
  <c r="AF190" i="1" s="1"/>
  <c r="AB189" i="1"/>
  <c r="AE189" i="1"/>
  <c r="AB188" i="1"/>
  <c r="AE188" i="1"/>
  <c r="AF188" i="1" s="1"/>
  <c r="AB187" i="1"/>
  <c r="AE187" i="1"/>
  <c r="AB186" i="1"/>
  <c r="AE186" i="1"/>
  <c r="AF186" i="1" s="1"/>
  <c r="AB185" i="1"/>
  <c r="AE185" i="1"/>
  <c r="AB184" i="1"/>
  <c r="AE184" i="1"/>
  <c r="AF184" i="1" s="1"/>
  <c r="AB183" i="1"/>
  <c r="AE183" i="1"/>
  <c r="AB182" i="1"/>
  <c r="AE182" i="1"/>
  <c r="AB181" i="1"/>
  <c r="AE181" i="1"/>
  <c r="AB180" i="1"/>
  <c r="AE180" i="1"/>
  <c r="AF180" i="1" s="1"/>
  <c r="AB179" i="1"/>
  <c r="AE179" i="1"/>
  <c r="AB178" i="1"/>
  <c r="AE178" i="1"/>
  <c r="AF178" i="1" s="1"/>
  <c r="AB177" i="1"/>
  <c r="AE177" i="1"/>
  <c r="AB176" i="1"/>
  <c r="AE176" i="1"/>
  <c r="AF176" i="1" s="1"/>
  <c r="AB175" i="1"/>
  <c r="AE175" i="1"/>
  <c r="AB174" i="1"/>
  <c r="AE174" i="1"/>
  <c r="AB173" i="1"/>
  <c r="AE173" i="1"/>
  <c r="AB172" i="1"/>
  <c r="AE172" i="1"/>
  <c r="AB171" i="1"/>
  <c r="AE171" i="1"/>
  <c r="AB170" i="1"/>
  <c r="AE170" i="1"/>
  <c r="AF170" i="1" s="1"/>
  <c r="AB169" i="1"/>
  <c r="AE169" i="1"/>
  <c r="AB168" i="1"/>
  <c r="AE168" i="1"/>
  <c r="AF168" i="1" s="1"/>
  <c r="AB167" i="1"/>
  <c r="AE167" i="1"/>
  <c r="AB166" i="1"/>
  <c r="AE166" i="1"/>
  <c r="AF166" i="1" s="1"/>
  <c r="AB165" i="1"/>
  <c r="AE165" i="1"/>
  <c r="AB164" i="1"/>
  <c r="AE164" i="1"/>
  <c r="AF164" i="1" s="1"/>
  <c r="AB163" i="1"/>
  <c r="AE163" i="1"/>
  <c r="AF163" i="1" s="1"/>
  <c r="AB162" i="1"/>
  <c r="AE162" i="1"/>
  <c r="AF162" i="1" s="1"/>
  <c r="AB161" i="1"/>
  <c r="AE161" i="1"/>
  <c r="AF161" i="1" s="1"/>
  <c r="AB160" i="1"/>
  <c r="AE160" i="1"/>
  <c r="AF160" i="1" s="1"/>
  <c r="AB159" i="1"/>
  <c r="AE159" i="1"/>
  <c r="AB158" i="1"/>
  <c r="AE158" i="1"/>
  <c r="AF158" i="1" s="1"/>
  <c r="AB157" i="1"/>
  <c r="AE157" i="1"/>
  <c r="AB156" i="1"/>
  <c r="AE156" i="1"/>
  <c r="AF156" i="1" s="1"/>
  <c r="AB155" i="1"/>
  <c r="AE155" i="1"/>
  <c r="AB154" i="1"/>
  <c r="AE154" i="1"/>
  <c r="AB153" i="1"/>
  <c r="AE153" i="1"/>
  <c r="AF153" i="1" s="1"/>
  <c r="AB152" i="1"/>
  <c r="AE152" i="1"/>
  <c r="AF152" i="1" s="1"/>
  <c r="AB151" i="1"/>
  <c r="AE151" i="1"/>
  <c r="AB150" i="1"/>
  <c r="AE150" i="1"/>
  <c r="AF150" i="1" s="1"/>
  <c r="AB149" i="1"/>
  <c r="AE149" i="1"/>
  <c r="AB148" i="1"/>
  <c r="AE148" i="1"/>
  <c r="AF148" i="1" s="1"/>
  <c r="AB147" i="1"/>
  <c r="AE147" i="1"/>
  <c r="AB146" i="1"/>
  <c r="AE146" i="1"/>
  <c r="AF146" i="1" s="1"/>
  <c r="AB145" i="1"/>
  <c r="AE145" i="1"/>
  <c r="AB144" i="1"/>
  <c r="AE144" i="1"/>
  <c r="AF144" i="1" s="1"/>
  <c r="AB143" i="1"/>
  <c r="AE143" i="1"/>
  <c r="AB142" i="1"/>
  <c r="AE142" i="1"/>
  <c r="AB141" i="1"/>
  <c r="AE141" i="1"/>
  <c r="AB140" i="1"/>
  <c r="AE140" i="1"/>
  <c r="AF140" i="1" s="1"/>
  <c r="AB139" i="1"/>
  <c r="AE139" i="1"/>
  <c r="AB138" i="1"/>
  <c r="AE138" i="1"/>
  <c r="AF138" i="1" s="1"/>
  <c r="AB137" i="1"/>
  <c r="AE137" i="1"/>
  <c r="AB136" i="1"/>
  <c r="AE136" i="1"/>
  <c r="AF136" i="1" s="1"/>
  <c r="AB135" i="1"/>
  <c r="AE135" i="1"/>
  <c r="AB134" i="1"/>
  <c r="AE134" i="1"/>
  <c r="AF134" i="1" s="1"/>
  <c r="AB133" i="1"/>
  <c r="AE133" i="1"/>
  <c r="AB132" i="1"/>
  <c r="AE132" i="1"/>
  <c r="AF132" i="1" s="1"/>
  <c r="AB131" i="1"/>
  <c r="AE131" i="1"/>
  <c r="AB130" i="1"/>
  <c r="AE130" i="1"/>
  <c r="AF130" i="1" s="1"/>
  <c r="AB129" i="1"/>
  <c r="AE129" i="1"/>
  <c r="AB128" i="1"/>
  <c r="AE128" i="1"/>
  <c r="AF128" i="1" s="1"/>
  <c r="AB127" i="1"/>
  <c r="AE127" i="1"/>
  <c r="AB126" i="1"/>
  <c r="AE126" i="1"/>
  <c r="AF126" i="1" s="1"/>
  <c r="AB125" i="1"/>
  <c r="AE125" i="1"/>
  <c r="AB124" i="1"/>
  <c r="AE124" i="1"/>
  <c r="AF124" i="1" s="1"/>
  <c r="AB123" i="1"/>
  <c r="AE123" i="1"/>
  <c r="AB122" i="1"/>
  <c r="AE122" i="1"/>
  <c r="AB121" i="1"/>
  <c r="AE121" i="1"/>
  <c r="AF121" i="1" s="1"/>
  <c r="AB120" i="1"/>
  <c r="AE120" i="1"/>
  <c r="AF120" i="1" s="1"/>
  <c r="AB119" i="1"/>
  <c r="AE119" i="1"/>
  <c r="AB118" i="1"/>
  <c r="AE118" i="1"/>
  <c r="AF118" i="1" s="1"/>
  <c r="AB117" i="1"/>
  <c r="AE117" i="1"/>
  <c r="AB116" i="1"/>
  <c r="AE116" i="1"/>
  <c r="AF116" i="1" s="1"/>
  <c r="AB115" i="1"/>
  <c r="AE115" i="1"/>
  <c r="AF261" i="1"/>
  <c r="AF234" i="1"/>
  <c r="AF202" i="1"/>
  <c r="AF154" i="1"/>
  <c r="AF265" i="1"/>
  <c r="AF257" i="1"/>
  <c r="AF249" i="1"/>
  <c r="AF241" i="1"/>
  <c r="AF225" i="1"/>
  <c r="AF217" i="1"/>
  <c r="AF209" i="1"/>
  <c r="AF185" i="1"/>
  <c r="AF177" i="1"/>
  <c r="AF169" i="1"/>
  <c r="AF145" i="1"/>
  <c r="AF137" i="1"/>
  <c r="AF274" i="1"/>
  <c r="AF250" i="1"/>
  <c r="AF232" i="1"/>
  <c r="AF172" i="1"/>
  <c r="AF122" i="1"/>
  <c r="AF212" i="1"/>
  <c r="AF270" i="1"/>
  <c r="AF262" i="1"/>
  <c r="AF254" i="1"/>
  <c r="AF238" i="1"/>
  <c r="AF230" i="1"/>
  <c r="AF222" i="1"/>
  <c r="AF214" i="1"/>
  <c r="AF182" i="1"/>
  <c r="AF174" i="1"/>
  <c r="AF142" i="1"/>
  <c r="AF269" i="1"/>
  <c r="AF253" i="1"/>
  <c r="AF245" i="1"/>
  <c r="AF237" i="1"/>
  <c r="AF229" i="1"/>
  <c r="AF221" i="1"/>
  <c r="AF213" i="1"/>
  <c r="AF205" i="1"/>
  <c r="AF197" i="1"/>
  <c r="AF189" i="1"/>
  <c r="AF181" i="1"/>
  <c r="AF173" i="1"/>
  <c r="AF165" i="1"/>
  <c r="AF157" i="1"/>
  <c r="AF149" i="1"/>
  <c r="AF141" i="1"/>
  <c r="AF133" i="1"/>
  <c r="AF125" i="1"/>
  <c r="AF117" i="1"/>
  <c r="AF275" i="1"/>
  <c r="AF267" i="1"/>
  <c r="AF259" i="1"/>
  <c r="AF251" i="1"/>
  <c r="AF235" i="1"/>
  <c r="AF227" i="1"/>
  <c r="AF219" i="1"/>
  <c r="AF195" i="1"/>
  <c r="AF187" i="1"/>
  <c r="AF179" i="1"/>
  <c r="AF171" i="1"/>
  <c r="AF155" i="1"/>
  <c r="AF147" i="1"/>
  <c r="AF139" i="1"/>
  <c r="AF131" i="1"/>
  <c r="AF123" i="1"/>
  <c r="AF115" i="1"/>
  <c r="AF271" i="1"/>
  <c r="AF263" i="1"/>
  <c r="AF255" i="1"/>
  <c r="AF247" i="1"/>
  <c r="AF239" i="1"/>
  <c r="AF231" i="1"/>
  <c r="AF223" i="1"/>
  <c r="AF215" i="1"/>
  <c r="AF207" i="1"/>
  <c r="AF199" i="1"/>
  <c r="AF191" i="1"/>
  <c r="AF183" i="1"/>
  <c r="AF175" i="1"/>
  <c r="AF167" i="1"/>
  <c r="AF159" i="1"/>
  <c r="AF151" i="1"/>
  <c r="AF143" i="1"/>
  <c r="AF135" i="1"/>
  <c r="AF127" i="1"/>
  <c r="AF119" i="1"/>
  <c r="AF242" i="1"/>
  <c r="AF129" i="1"/>
  <c r="AF22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tc={DC13E3E4-05C2-416D-910F-FB102633BCBE}</author>
    <author>tc={46319DFA-F639-459B-B671-392BC0A1A04D}</author>
    <author>tc={EE164E67-5EEF-48F5-8C84-92983DFF53E7}</author>
    <author>tc={ECF36896-F898-4B98-A2BA-7194CD00C738}</author>
    <author>tc={2F54D032-0673-4E54-9B89-F6221DE34C88}</author>
    <author>tc={B218D23A-1697-44AA-82C2-25AF6026604F}</author>
    <author>tc={65D5A3F5-1856-465C-B769-3D0D9D4248EC}</author>
    <author>tc={540EE493-F5B7-4D2D-8493-D9D2B75DD0AD}</author>
  </authors>
  <commentList>
    <comment ref="AT77" authorId="0" shapeId="0" xr:uid="{DC13E3E4-05C2-416D-910F-FB102633BCBE}">
      <text>
        <r>
          <rPr>
            <sz val="11"/>
            <color theme="1"/>
            <rFont val="Arial"/>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Please add Justification for changing the treatment due date @Abdulaziz Ali Yahya Zailaie </t>
        </r>
      </text>
    </comment>
    <comment ref="AV77" authorId="1" shapeId="0" xr:uid="{46319DFA-F639-459B-B671-392BC0A1A04D}">
      <text>
        <r>
          <rPr>
            <sz val="11"/>
            <color theme="1"/>
            <rFont val="Arial"/>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please update the review date. @Abdulaziz Ali Yahya Zailaie </t>
        </r>
      </text>
    </comment>
    <comment ref="AT80" authorId="2" shapeId="0" xr:uid="{EE164E67-5EEF-48F5-8C84-92983DFF53E7}">
      <text>
        <r>
          <rPr>
            <sz val="11"/>
            <color theme="1"/>
            <rFont val="Arial"/>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Please add Justification for changing the treatment due date @Abdulaziz Ali Yahya Zailaie </t>
        </r>
      </text>
    </comment>
    <comment ref="AV80" authorId="3" shapeId="0" xr:uid="{ECF36896-F898-4B98-A2BA-7194CD00C738}">
      <text>
        <r>
          <rPr>
            <sz val="11"/>
            <color theme="1"/>
            <rFont val="Arial"/>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please update the review date. @Abdulaziz Ali Yahya Zailaie </t>
        </r>
      </text>
    </comment>
    <comment ref="AT116" authorId="4" shapeId="0" xr:uid="{2F54D032-0673-4E54-9B89-F6221DE34C88}">
      <text>
        <r>
          <rPr>
            <sz val="11"/>
            <color theme="1"/>
            <rFont val="Arial"/>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Please add Justification for changing the treatment due date @Abdulaziz Ali Yahya Zailaie </t>
        </r>
      </text>
    </comment>
    <comment ref="AV116" authorId="5" shapeId="0" xr:uid="{B218D23A-1697-44AA-82C2-25AF6026604F}">
      <text>
        <r>
          <rPr>
            <sz val="11"/>
            <color theme="1"/>
            <rFont val="Arial"/>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please update the review date. @Abdulaziz Ali Yahya Zailaie </t>
        </r>
      </text>
    </comment>
    <comment ref="AT117" authorId="6" shapeId="0" xr:uid="{65D5A3F5-1856-465C-B769-3D0D9D4248EC}">
      <text>
        <r>
          <rPr>
            <sz val="11"/>
            <color theme="1"/>
            <rFont val="Arial"/>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Please add Justification for changing the treatment due date @Abdulaziz Ali Yahya Zailaie </t>
        </r>
      </text>
    </comment>
    <comment ref="AV117" authorId="7" shapeId="0" xr:uid="{540EE493-F5B7-4D2D-8493-D9D2B75DD0AD}">
      <text>
        <r>
          <rPr>
            <sz val="11"/>
            <color theme="1"/>
            <rFont val="Arial"/>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please update the review date. @Abdulaziz Ali Yahya Zailaie </t>
        </r>
      </text>
    </comment>
  </commentList>
</comments>
</file>

<file path=xl/sharedStrings.xml><?xml version="1.0" encoding="utf-8"?>
<sst xmlns="http://schemas.openxmlformats.org/spreadsheetml/2006/main" count="2916" uniqueCount="1168">
  <si>
    <t>#</t>
  </si>
  <si>
    <t>Reference Number</t>
  </si>
  <si>
    <t>Risk Type</t>
  </si>
  <si>
    <t>Risk Category</t>
  </si>
  <si>
    <t>Risk Sub-Category</t>
  </si>
  <si>
    <t>Department</t>
  </si>
  <si>
    <t>Sector</t>
  </si>
  <si>
    <t>Risk Title</t>
  </si>
  <si>
    <t>Risk Description</t>
  </si>
  <si>
    <t>Risk Owner</t>
  </si>
  <si>
    <t>Risk Controller</t>
  </si>
  <si>
    <t>Root Cause</t>
  </si>
  <si>
    <t>Worst Case Scenario</t>
  </si>
  <si>
    <t>Impacted Strategic Objective</t>
  </si>
  <si>
    <t>Control Types</t>
  </si>
  <si>
    <t>Bcp's</t>
  </si>
  <si>
    <t>Document Reference</t>
  </si>
  <si>
    <t>Financial</t>
  </si>
  <si>
    <t>Operational</t>
  </si>
  <si>
    <t>Technology</t>
  </si>
  <si>
    <t>Human Capital</t>
  </si>
  <si>
    <t>Health, Safety, Environemnt, Energy &amp; Quality</t>
  </si>
  <si>
    <t>Customers &amp; Reputation</t>
  </si>
  <si>
    <t>Compliance &amp; Legal</t>
  </si>
  <si>
    <t>Project Plan</t>
  </si>
  <si>
    <t>Strategic</t>
  </si>
  <si>
    <t>Total Impact Score</t>
  </si>
  <si>
    <t>Likelihood score</t>
  </si>
  <si>
    <t>Likelihood</t>
  </si>
  <si>
    <t>Risk Rating</t>
  </si>
  <si>
    <t>Control Effectivness</t>
  </si>
  <si>
    <t>Target Impact</t>
  </si>
  <si>
    <t>Target Likelihood</t>
  </si>
  <si>
    <t>Target Risk Rating</t>
  </si>
  <si>
    <t>Response Strategy</t>
  </si>
  <si>
    <t>Risk Treatment Action Plan</t>
  </si>
  <si>
    <t>Treatment Owner</t>
  </si>
  <si>
    <t>Treatment Due Date</t>
  </si>
  <si>
    <t>Rtp Status</t>
  </si>
  <si>
    <t>Review Date</t>
  </si>
  <si>
    <t>Notes</t>
  </si>
  <si>
    <t>Serial Number</t>
  </si>
  <si>
    <t>The Reference Number will follow a system YCC would recommend to identify a risk</t>
  </si>
  <si>
    <t>Please specify the type of the risk: Strategic, Financial, Operational, Compliance</t>
  </si>
  <si>
    <t xml:space="preserve">Please identify the category and sub-category the risk would falls under
</t>
  </si>
  <si>
    <t>Please specify the Department the risk relates to</t>
  </si>
  <si>
    <t>Please specify the Divison the risk relates to</t>
  </si>
  <si>
    <t>Please specify risk title</t>
  </si>
  <si>
    <t>Please provide details on the risk itself</t>
  </si>
  <si>
    <t xml:space="preserve">Please specify the YCC personnel that has identified and owns the risk </t>
  </si>
  <si>
    <t>Please specify the YCC personnel that is managing the control that is in place</t>
  </si>
  <si>
    <t>Please specify factors that trigger or result in the occurrence of a risk event</t>
  </si>
  <si>
    <t>Please specify the worst possible end-result that could occur due to the risk</t>
  </si>
  <si>
    <r>
      <t xml:space="preserve">Please provide details on the objectives that have been effected due to the risk event occuring </t>
    </r>
    <r>
      <rPr>
        <sz val="8"/>
        <color rgb="FFFF0000"/>
        <rFont val="Arial"/>
        <family val="2"/>
        <scheme val="minor"/>
      </rPr>
      <t>(Optional)</t>
    </r>
  </si>
  <si>
    <t>Please provide a choice from the list of controls: Internal Control, Insurance Policy, 3rd Party Contracts, Continuity Plan</t>
  </si>
  <si>
    <t>Describe if the risk has Business impact and listed in BC</t>
  </si>
  <si>
    <t>Please provide details to any documents that can be relavent to the risk</t>
  </si>
  <si>
    <t>Identify the expected financial impact of the risk if it were to occur</t>
  </si>
  <si>
    <t>Identify the expected operational impact of the risk if it were to occur</t>
  </si>
  <si>
    <t>Identify the expected technology impact of the risk if it were to occur</t>
  </si>
  <si>
    <t>Identify the expected human capital impact of the risk if it were to occur</t>
  </si>
  <si>
    <t>Identify the expected health &amp; safety impact of the risk if it were to occur</t>
  </si>
  <si>
    <t>Identify the expected customer &amp; reputation impact of the risk if it were to occur</t>
  </si>
  <si>
    <t>Identify the expected compliance &amp; legal impact of the risk if it were to occur</t>
  </si>
  <si>
    <t>Identify the expected project plan  impact of the risk if it were to occur</t>
  </si>
  <si>
    <t>Identify the expected strategic impact of the risk if it were to occur</t>
  </si>
  <si>
    <t>Calculation done using the max scoring of the impact area</t>
  </si>
  <si>
    <t>Identify how likely the risk is to occur</t>
  </si>
  <si>
    <r>
      <t xml:space="preserve">result of the Likelihood </t>
    </r>
    <r>
      <rPr>
        <b/>
        <u/>
        <sz val="8"/>
        <color theme="0" tint="-0.499984740745262"/>
        <rFont val="Arial"/>
        <family val="2"/>
        <scheme val="minor"/>
      </rPr>
      <t xml:space="preserve">times the </t>
    </r>
    <r>
      <rPr>
        <sz val="8"/>
        <color theme="0" tint="-0.499984740745262"/>
        <rFont val="Arial"/>
        <family val="2"/>
        <scheme val="minor"/>
      </rPr>
      <t xml:space="preserve"> Impact</t>
    </r>
  </si>
  <si>
    <t>The level of effectiveness</t>
  </si>
  <si>
    <t>The level of impact the risk has on YCC's objectives and goals</t>
  </si>
  <si>
    <t>The methodology &amp; description of the risk treatment</t>
  </si>
  <si>
    <t>The YCC personnel that is responsible for the risk treatment (Optional)</t>
  </si>
  <si>
    <t>The date that the treatment is to be in place and active</t>
  </si>
  <si>
    <t>Not started, In progress, Implemented, Cancelled, Confirmed</t>
  </si>
  <si>
    <t>The last date that the risk was reviewed</t>
  </si>
  <si>
    <t>Any additional comments</t>
  </si>
  <si>
    <t>FIN-01</t>
  </si>
  <si>
    <t>Credit</t>
  </si>
  <si>
    <t>Treasury</t>
  </si>
  <si>
    <t>Finance Affairs</t>
  </si>
  <si>
    <t>Credit  risk</t>
  </si>
  <si>
    <t xml:space="preserve">Customers unable to settle payments on time and/or ineffective credit assessment to identify unsatisfactory Third Party credit history and/or </t>
  </si>
  <si>
    <t xml:space="preserve">Treasury Manager </t>
  </si>
  <si>
    <t>Customer's financial instability or bankruptcy</t>
  </si>
  <si>
    <t>Internal Control</t>
  </si>
  <si>
    <t>Not Listed</t>
  </si>
  <si>
    <t>High</t>
  </si>
  <si>
    <t>5- Effective</t>
  </si>
  <si>
    <t>Mitigate</t>
  </si>
  <si>
    <t>Bank guarantee is being requested from customers</t>
  </si>
  <si>
    <t xml:space="preserve">Treasury and Finance Manager </t>
  </si>
  <si>
    <t>Implemented</t>
  </si>
  <si>
    <t>Done</t>
  </si>
  <si>
    <t>FIN-02</t>
  </si>
  <si>
    <t xml:space="preserve">Liquidtiy </t>
  </si>
  <si>
    <t>low liquidity and high financing costs</t>
  </si>
  <si>
    <t>Reduced liquidity from operating to credit will significantly impact working capital financing.
A rise in interest rates causes working capital financing costs to rise.</t>
  </si>
  <si>
    <t>Decreased sales and increased expenses
Sibur height</t>
  </si>
  <si>
    <t xml:space="preserve">Inadequate Cash </t>
  </si>
  <si>
    <t>Very High</t>
  </si>
  <si>
    <t xml:space="preserve">Search for the best sources of financing with the lowest possible interest rates.
Use hedging tools if possible.
</t>
  </si>
  <si>
    <t>In Progress </t>
  </si>
  <si>
    <t>Still In Progress</t>
  </si>
  <si>
    <t>FIN-03</t>
  </si>
  <si>
    <t>Equity</t>
  </si>
  <si>
    <t>Equity risk</t>
  </si>
  <si>
    <t xml:space="preserve">Inability to offer marketable securities appropriately priced for the enterprise's value </t>
  </si>
  <si>
    <t>Inadequate, insufficient or untimely corporate information to analysts
Failure to meet quarterly targets or projections
Failure to manage investor and rating agency relations</t>
  </si>
  <si>
    <t>Medium</t>
  </si>
  <si>
    <t xml:space="preserve">Diversity investment in equity market.
Close monitoring of equity price movements to enable taking timely pro-active action. 
</t>
  </si>
  <si>
    <t>FIN-04</t>
  </si>
  <si>
    <t>Zakat&amp;Taxation</t>
  </si>
  <si>
    <t>Accounting</t>
  </si>
  <si>
    <t>Zakat and Taxation risk</t>
  </si>
  <si>
    <t>Lack of clarity on the amount and interpretation of rules and regulations.</t>
  </si>
  <si>
    <t xml:space="preserve"> Accounting Manager </t>
  </si>
  <si>
    <t xml:space="preserve">Lack of clear information </t>
  </si>
  <si>
    <t>Low</t>
  </si>
  <si>
    <t xml:space="preserve">Current trends in the Department of Zakat, Income and Tax to end annual assessments
The company has a tax advisor who reviews the monthly returns, in addition to a zakat advisor who reviews the zakat declaration, those consultant  classified within the Big 4 </t>
  </si>
  <si>
    <t>FIN-05</t>
  </si>
  <si>
    <t>Insurance</t>
  </si>
  <si>
    <t>Inadequate insurance</t>
  </si>
  <si>
    <t>Refusal from insurance companies to extend insurance coverage due to absence of civil defense license.</t>
  </si>
  <si>
    <t>As per SAMA requirement to all insurance companies in 2018, Civil Defense License must be obtained from all insured entities to accept coverage.</t>
  </si>
  <si>
    <t>Insurance Policy</t>
  </si>
  <si>
    <t>1- Safety drawing plans to be finalized and approved by Civil Defense. 2- Appointing contractors. 3- obtain a civil defense license. 4- Submit quarterly progress report to insurance company to show process and achievements of obtaining the license.</t>
  </si>
  <si>
    <t>HRBP-01</t>
  </si>
  <si>
    <t>Health_Safety_Environemnt_Quality, Human_Capital</t>
  </si>
  <si>
    <t>Disaster 'Natural/Manmade'</t>
  </si>
  <si>
    <t>HR Business Partner</t>
  </si>
  <si>
    <t>HCM</t>
  </si>
  <si>
    <t>Pandemic risk</t>
  </si>
  <si>
    <t xml:space="preserve">Impact of Spread of the virus </t>
  </si>
  <si>
    <t>HRBP Manager</t>
  </si>
  <si>
    <t xml:space="preserve">Spread of the virus at work due to not complying with medical requirements. </t>
  </si>
  <si>
    <t>Total lockdown and inability to reach the workplace and work remotely</t>
  </si>
  <si>
    <t>Delay in achieving strategic objectives</t>
  </si>
  <si>
    <t>All reports and announcements are followed up by the Ministry of Health and the World Health Organization in the event of any warnings of a global epidemic</t>
  </si>
  <si>
    <t>HCM VP</t>
  </si>
  <si>
    <t>Implemented </t>
  </si>
  <si>
    <t>CEX-01</t>
  </si>
  <si>
    <t>Human_Capital</t>
  </si>
  <si>
    <t>Workforce/Headcount</t>
  </si>
  <si>
    <t xml:space="preserve">Center of Excellence </t>
  </si>
  <si>
    <t>EmploeeysSatisfaction</t>
  </si>
  <si>
    <t>Low rates of job satisfaction</t>
  </si>
  <si>
    <t>Center Of Excellence Mananger</t>
  </si>
  <si>
    <t>Lack of satisfaction surveys</t>
  </si>
  <si>
    <t>Employee resignation and increased turnover</t>
  </si>
  <si>
    <t>3- Partially effective</t>
  </si>
  <si>
    <t>Conduct a job satisfaction questionnaire and analyze its results into an action plan
Work on loyalty programs for employees</t>
  </si>
  <si>
    <t>The HCM strategy and its pillars focus on providing a program that targets employee satisfaction, career development programs, and other initiatives aimed at improving the work environment. These efforts will support progress while mitigating risks as soonest.</t>
  </si>
  <si>
    <t>CEX-02</t>
  </si>
  <si>
    <t>Technology, Human_Capital</t>
  </si>
  <si>
    <t xml:space="preserve">Application Development </t>
  </si>
  <si>
    <t>HCM ERP System</t>
  </si>
  <si>
    <t>The system is currently not working to its full capabilities</t>
  </si>
  <si>
    <t>Failure of ERP</t>
  </si>
  <si>
    <t>Inability to activate all models in the system</t>
  </si>
  <si>
    <t>Work is underway to correct the problems currently existing with the consultant</t>
  </si>
  <si>
    <t>Confirmed </t>
  </si>
  <si>
    <t>This has been done by activating the ERP and completing the transfer of all data.</t>
  </si>
  <si>
    <t>CEX-03</t>
  </si>
  <si>
    <t>Compliance</t>
  </si>
  <si>
    <t>Compliance_Legal, Human_Capital</t>
  </si>
  <si>
    <t>Government Relations</t>
  </si>
  <si>
    <t>internal Regulation</t>
  </si>
  <si>
    <t>Suspension of Qiwa platform services due to non-approval of the company's internal regulations</t>
  </si>
  <si>
    <t>Inability to use the services of the Ministry of Human Resources.</t>
  </si>
  <si>
    <t>Imposing fines on the company</t>
  </si>
  <si>
    <t>The list was sent to the Legal Department for approval in the Ministry of Human Resources</t>
  </si>
  <si>
    <t>The progress of this risk involves collaborative work across multiple sectors. We are currently in the review phase, preparing for confirmation</t>
  </si>
  <si>
    <t>CEX-04</t>
  </si>
  <si>
    <t>Capacity Development</t>
  </si>
  <si>
    <t>HCM Trasformation Project</t>
  </si>
  <si>
    <t>Delay in the project phases</t>
  </si>
  <si>
    <t>project manager</t>
  </si>
  <si>
    <t>Delay in project stages
Failure to deliver the project on time</t>
  </si>
  <si>
    <t>Outputs fail or are not approved</t>
  </si>
  <si>
    <t>3rd Party Contract</t>
  </si>
  <si>
    <t>There is a weekly meeting with the consulting company to follow up on the progress of the project</t>
  </si>
  <si>
    <t>It’s done. All the expected deliverables of the project have been received and cascaded to their respective fields.</t>
  </si>
  <si>
    <t>SS-01</t>
  </si>
  <si>
    <t>Compliance, Operational</t>
  </si>
  <si>
    <t>Health_Safety_Environemnt_Quality</t>
  </si>
  <si>
    <t>Health and Safety</t>
  </si>
  <si>
    <t xml:space="preserve">Support services </t>
  </si>
  <si>
    <t xml:space="preserve">  Emergency cases Risk </t>
  </si>
  <si>
    <t>Vaccines for snake bites and scorpions</t>
  </si>
  <si>
    <t>Medical clinic</t>
  </si>
  <si>
    <t>Support Services</t>
  </si>
  <si>
    <t>Lack of SOPs , Delays in service and product delivery , Quality issues in the services provided,</t>
  </si>
  <si>
    <t>Rescue &amp; Critical cases</t>
  </si>
  <si>
    <t>Internal Control, Continuity Plan</t>
  </si>
  <si>
    <t>Vaccines are not available in the pharmacy, but we obtain them from the Ministry of Health</t>
  </si>
  <si>
    <t>SS-02</t>
  </si>
  <si>
    <t>Operational, Compliance</t>
  </si>
  <si>
    <t>Quality Risk</t>
  </si>
  <si>
    <t>First aid training</t>
  </si>
  <si>
    <t>Lack of SOPs, Lack of training plan, Delays in service and product delivery,Quality issues in the services provided,</t>
  </si>
  <si>
    <t>The importance of training employees in first aid on continuous</t>
  </si>
  <si>
    <t>SS-03</t>
  </si>
  <si>
    <t>an ambulance with a driver</t>
  </si>
  <si>
    <t>ack of SOPs, Lack of training plan, Delays in service and product delivery,Quality issues in the services provided,</t>
  </si>
  <si>
    <t>must be An ambulance with a driver available to transport emergency cases</t>
  </si>
  <si>
    <t>SS-04</t>
  </si>
  <si>
    <t>disposing of medical waste</t>
  </si>
  <si>
    <t>Methods of disposing of medical waste</t>
  </si>
  <si>
    <t>Spread of diseases</t>
  </si>
  <si>
    <t>There is an annual contract for transporting medical waste</t>
  </si>
  <si>
    <t>SS-05</t>
  </si>
  <si>
    <t>Operational, Compliance, Financial</t>
  </si>
  <si>
    <t>medicines in the medical clinic</t>
  </si>
  <si>
    <t>Providing a stock of medicines in the medical clinic</t>
  </si>
  <si>
    <t>Sick cases will go 80 km to the city of Yanbu for medicine</t>
  </si>
  <si>
    <t>There is a direct contract with a pharmacy to provide medicines</t>
  </si>
  <si>
    <t>SS-06</t>
  </si>
  <si>
    <t>Operating the medical clinic</t>
  </si>
  <si>
    <t>Sick cases will go 80 km to the city of Yanbu for the hospital</t>
  </si>
  <si>
    <t>Internal Control, Insurance Policy, Continuity Plan</t>
  </si>
  <si>
    <t>SS-07</t>
  </si>
  <si>
    <t>Inspection visits to service facilities</t>
  </si>
  <si>
    <t>Cases of food poisoning</t>
  </si>
  <si>
    <t>SS-08</t>
  </si>
  <si>
    <t>Financial, Compliance, Operational</t>
  </si>
  <si>
    <t>Operations</t>
  </si>
  <si>
    <t>Specification/Requirements</t>
  </si>
  <si>
    <t>spare parts for the maintenance of  housel units</t>
  </si>
  <si>
    <t>Providing a stock of spare parts for the maintenance of  housel units</t>
  </si>
  <si>
    <t>Facility Maintenance</t>
  </si>
  <si>
    <t>Low employment rate</t>
  </si>
  <si>
    <t>Providing ready housing units</t>
  </si>
  <si>
    <t>SS-09</t>
  </si>
  <si>
    <t>Financial, Operational, Compliance</t>
  </si>
  <si>
    <t>Desertification Risk</t>
  </si>
  <si>
    <t>Preserving trees and gardens &amp;   cleanliness</t>
  </si>
  <si>
    <t>Environmental quality &amp; desertification</t>
  </si>
  <si>
    <t>Providing the operator and raw materials</t>
  </si>
  <si>
    <t>SS-10</t>
  </si>
  <si>
    <t>Operational, Financial, Compliance</t>
  </si>
  <si>
    <t>Service</t>
  </si>
  <si>
    <t>office supplies</t>
  </si>
  <si>
    <t>Providing offices and office supplies for employees</t>
  </si>
  <si>
    <t>Providing offices, stationery and food supplies</t>
  </si>
  <si>
    <t>SS-11</t>
  </si>
  <si>
    <t>Maintaining company vehicles and providing spare parts</t>
  </si>
  <si>
    <t>Transportation</t>
  </si>
  <si>
    <t>the work is stopped</t>
  </si>
  <si>
    <t>Providing spare parts &amp; maintenance for vehicles</t>
  </si>
  <si>
    <t>SS-12</t>
  </si>
  <si>
    <t>Fire  Risk</t>
  </si>
  <si>
    <t>Transporting and building a fuel tank in a safe area</t>
  </si>
  <si>
    <t>Fire and asset losses</t>
  </si>
  <si>
    <t>Construction of a fuel tank in a safe area</t>
  </si>
  <si>
    <t>30/03/2025</t>
  </si>
  <si>
    <t>Not Started </t>
  </si>
  <si>
    <t>TM-01</t>
  </si>
  <si>
    <t>Talent Management</t>
  </si>
  <si>
    <t>Learning and Development</t>
  </si>
  <si>
    <t>Lack of formalized training, learning and development programs and lack of competency gap analysis</t>
  </si>
  <si>
    <t xml:space="preserve">Talent Managment Manager / Centter of Excllence Manager </t>
  </si>
  <si>
    <t>Chief Human Capital Management Officer</t>
  </si>
  <si>
    <t xml:space="preserve"> No updated job description
No list of competencies</t>
  </si>
  <si>
    <t>Exit of highly qualified employees</t>
  </si>
  <si>
    <t>Continuity Plan</t>
  </si>
  <si>
    <t>The risk treatment will be covered by HCM Transformation Project</t>
  </si>
  <si>
    <t>Talent Management Manager</t>
  </si>
  <si>
    <t>The competencies for all levels in the company have been selected, along with the job descriptions. The training process now incorporates both."</t>
  </si>
  <si>
    <t>TM-02</t>
  </si>
  <si>
    <t>Turnover/Retention</t>
  </si>
  <si>
    <t>Talent Retention</t>
  </si>
  <si>
    <t>Inability to retain quality staff across all levels of operations</t>
  </si>
  <si>
    <t xml:space="preserve">Talent Managment Manager </t>
  </si>
  <si>
    <t xml:space="preserve">Poor employee value proposition
Death, sickness and/or retirement
Poor succession planning
No clear career path
No clear job descriptions </t>
  </si>
  <si>
    <t>The grades and job descriptions have been established, providing a clear career path, including the necessary requirements.</t>
  </si>
  <si>
    <t>TM-03</t>
  </si>
  <si>
    <t xml:space="preserve">Recruitment </t>
  </si>
  <si>
    <t xml:space="preserve">Recruitment of Key Positions      </t>
  </si>
  <si>
    <t xml:space="preserve">Difficulties to attract the talents for spine positions </t>
  </si>
  <si>
    <t>Scarcity of candidates
Manual recruitment process
Career development opportunities
Tight labor market in certain areas</t>
  </si>
  <si>
    <t>Critical functions will be identified for each sector</t>
  </si>
  <si>
    <t>By keep the evaluation of the short listed candidate for each position and enabling the internal recruitments we're covering the most of the risk traetment</t>
  </si>
  <si>
    <t>TM-04</t>
  </si>
  <si>
    <t xml:space="preserve">Succession </t>
  </si>
  <si>
    <t xml:space="preserve">Over Reliance on key employee / Lack of Succession Planning      </t>
  </si>
  <si>
    <t>Over Reliance on key employee and lack of succession planning for critical positions</t>
  </si>
  <si>
    <t xml:space="preserve">Lack of structured process for the defining critical positions and successors (succession planning) 
</t>
  </si>
  <si>
    <t>Critical functions will be identified for each sector / Exit of highly qualified employees</t>
  </si>
  <si>
    <t>We have published the succession planning framework, and it is now in its first phase.</t>
  </si>
  <si>
    <t>TM-05</t>
  </si>
  <si>
    <t>Skilled/Certified resources</t>
  </si>
  <si>
    <t>Inability to find certificated professionals/right talents</t>
  </si>
  <si>
    <t>VP of HCM</t>
  </si>
  <si>
    <t>Competitive market place
Market skillset scarcity
Inadequate recruitment procedures
Poor candidate follow-up
Confusing organizational structure
Remote location working
Unfavorable office locations
No standardized selection criteria</t>
  </si>
  <si>
    <t>Very Low</t>
  </si>
  <si>
    <t>Insure the clarity of roles by establishing the job discreptions</t>
  </si>
  <si>
    <t>The job descriptions is created for each role, give us the ability now to search more actively and specify all the related requirements.</t>
  </si>
  <si>
    <t>SS-13</t>
  </si>
  <si>
    <t>Emergency power outage</t>
  </si>
  <si>
    <t xml:space="preserve">VP of HCM
IT Director
VP - Supply Chain
</t>
  </si>
  <si>
    <t>Back-up Generator for vital equipment &amp; locations is not ready during electricity shutdown.</t>
  </si>
  <si>
    <t>Devices stop working</t>
  </si>
  <si>
    <t>•	Vital Equipment &amp; Locations will be linked with back-up generators.
•	Back-up generators will be maintained &amp; checked prior to each important meeting such as Board &amp; Executive and General Assembly.
•	Check Maintenance Contract for back-up generator with Supply Chain Sector.
•	Ensure all Vital Equipment &amp; Locations are linked with back-up generator for enough time period.</t>
  </si>
  <si>
    <t>Support Services Manager</t>
  </si>
  <si>
    <t>During the previous period there were no problems with power outages.</t>
  </si>
  <si>
    <t>IA-01</t>
  </si>
  <si>
    <t>Strategic Goals and Objectives</t>
  </si>
  <si>
    <t>Internal Audit</t>
  </si>
  <si>
    <t>Board Audit Committee (BAC) &amp; CEO expectations.</t>
  </si>
  <si>
    <t>IA is unable to meet the expectations of the Board Audit Committee and CEO.</t>
  </si>
  <si>
    <t>Internal Auditor</t>
  </si>
  <si>
    <t>Internal Audit Director</t>
  </si>
  <si>
    <t xml:space="preserve">Due to insufficient resources, key staff turnover and lack of required competency. </t>
  </si>
  <si>
    <t>The audit committee and CEO are not provided with the audit results and recommendations for improvement in the internal control system, or  they are unsatisfied with the quality of audit outcomes.</t>
  </si>
  <si>
    <t>4- Slightly Effective</t>
  </si>
  <si>
    <t>Performance Review and Improvement Plan
Enhanced Communication and Alignment
Training and Process Enhancement</t>
  </si>
  <si>
    <t>IA Director</t>
  </si>
  <si>
    <t>Ongoing</t>
  </si>
  <si>
    <t>IA-02</t>
  </si>
  <si>
    <t>Customers_Reputation</t>
  </si>
  <si>
    <t>Internal Communication</t>
  </si>
  <si>
    <t xml:space="preserve">Department Reputation </t>
  </si>
  <si>
    <t xml:space="preserve">Risk of the Internal Audit Function being perceived as biased or subjective in its assessments and opinions. 	 </t>
  </si>
  <si>
    <t>Lack of independence, inadequate objectivity in reporting, improper influence from management, insufficient documentation of audit evidence, or failure to apply consistent audit procedures and standards.</t>
  </si>
  <si>
    <t>Internal audit reports will not be validated by the management.</t>
  </si>
  <si>
    <t>Standarizing audit methodologies to ensure transparency and consistency. Reinforcement integrity and objectivity among auditors.</t>
  </si>
  <si>
    <t>IA-03</t>
  </si>
  <si>
    <t>Governance</t>
  </si>
  <si>
    <t xml:space="preserve">Audit Coverage </t>
  </si>
  <si>
    <t xml:space="preserve">YCC's audit universe does not cover the significant and critical business processes and functions.  </t>
  </si>
  <si>
    <t>Due to shortage of staff and time
Inappropriate risk assessment to identify auditable units</t>
  </si>
  <si>
    <t>Critical business areas and processes are ignored</t>
  </si>
  <si>
    <t>reviewing and expand the audit universe to encompass significant and critical business processes and functions.</t>
  </si>
  <si>
    <t>IA-04</t>
  </si>
  <si>
    <t>Effeciency/Performance</t>
  </si>
  <si>
    <t xml:space="preserve">Auditors Competencies </t>
  </si>
  <si>
    <t>Low quality of internal audit outputs due to the lack of competencies required to execute a specific audit.</t>
  </si>
  <si>
    <t>Poor fieldwork and a lack of business knowledge in the subject audit area</t>
  </si>
  <si>
    <t>Low-quality audit reports</t>
  </si>
  <si>
    <t>Provide targeted training and development to enhance competencies necessary for executing specific audits, thereby improving the quality of internal audit outputs.</t>
  </si>
  <si>
    <t>IA-05</t>
  </si>
  <si>
    <t>Audit Scope</t>
  </si>
  <si>
    <t xml:space="preserve">Internal audit scope creep or scope limitations during the execution of internal audits. </t>
  </si>
  <si>
    <t>Inappropriate setting of the audit scope and a lack of audit planning</t>
  </si>
  <si>
    <t>Audit could not be performed and executed with due care and diligence</t>
  </si>
  <si>
    <t xml:space="preserve">Defining clear and detailed audit scopes while monitoring for potential scope creep during execution to ensure effective internal audits. Updating the IAD Charter and getting it approved by the BAC to overcome the issue of scope limitation. </t>
  </si>
  <si>
    <t>IA-06</t>
  </si>
  <si>
    <t>Project_Plan</t>
  </si>
  <si>
    <t xml:space="preserve">Scheduele </t>
  </si>
  <si>
    <t>Timing of Audit Assignments</t>
  </si>
  <si>
    <t>Failure to conduct the internal audit according to its specified schedule due to delays in obtaining the audit requirements, the authority to extract data from the system, or poor time management.</t>
  </si>
  <si>
    <t>Staff turnover
Staff vacations
Dealy in receipt of audit requirments by auditee</t>
  </si>
  <si>
    <t>Audit reports and corrective actions become irrelevant to implement</t>
  </si>
  <si>
    <t>Listed</t>
  </si>
  <si>
    <t>Internal Audit BIA</t>
  </si>
  <si>
    <t>Ensure the timely acquisition of audit requirements, secure the necessary authority for data extraction, and enhance time management to adhere to the internal audit schedule, while seeking CEO support to minimize delays.</t>
  </si>
  <si>
    <t>IA-07</t>
  </si>
  <si>
    <t>Annual Audit Plan</t>
  </si>
  <si>
    <t>Less than 100% of the internal audit plan is completed within a year.</t>
  </si>
  <si>
    <t>The annual audit plan will not be executed completely</t>
  </si>
  <si>
    <t>Enhancing resource allocation and prioritize audit tasks to achieve completion of the entire internal audit plan within the year.</t>
  </si>
  <si>
    <t>IT-01</t>
  </si>
  <si>
    <t>Operational, Financial</t>
  </si>
  <si>
    <t xml:space="preserve">Data Privacy </t>
  </si>
  <si>
    <t>IT Departement</t>
  </si>
  <si>
    <t xml:space="preserve">IT </t>
  </si>
  <si>
    <t>Data Breach</t>
  </si>
  <si>
    <t>Exposes confidential, sensitive, or protected information to an unauthorized person.</t>
  </si>
  <si>
    <t xml:space="preserve">IT Director </t>
  </si>
  <si>
    <t>IT Section Head</t>
  </si>
  <si>
    <t>Compromising confidential information, Access to the network by unauthorized persons, Disclosure of passwords, Information leakage, Unauthorized installation of software, Fraud or Social Engineering</t>
  </si>
  <si>
    <t>Finance and Investments data breach</t>
  </si>
  <si>
    <t>Fully Effective</t>
  </si>
  <si>
    <t>Firewall - Access Control - Antivirus - Anti-Spyware - Email Security - Two-Factor Authentication - Software Update (Updated)</t>
  </si>
  <si>
    <t>IT Department Manager</t>
  </si>
  <si>
    <t>IT-02</t>
  </si>
  <si>
    <t xml:space="preserve">Information/ Data Security , Application Development </t>
  </si>
  <si>
    <t>Service Stop</t>
  </si>
  <si>
    <t>Loss, damage, or destruction of the system that impairs its functionality, preventing it from operating fully or partially.</t>
  </si>
  <si>
    <t>Loss of electricity, Loss of support services, Malfunction of equipment, Software errors or Errors in maintenance</t>
  </si>
  <si>
    <t>Service Stop for a longer time</t>
  </si>
  <si>
    <t>Effective</t>
  </si>
  <si>
    <t xml:space="preserve">Implement the DR plan immediatly. </t>
  </si>
  <si>
    <t>IT-03</t>
  </si>
  <si>
    <t xml:space="preserve">Information/ Data Security </t>
  </si>
  <si>
    <t>Data Loss</t>
  </si>
  <si>
    <t xml:space="preserve">Destruction of information, either by people or processes, inside or outside of an organization </t>
  </si>
  <si>
    <t>Unauthorized access to the information system, Malware or Unauthorized installation of software</t>
  </si>
  <si>
    <t>Losing entire data of company</t>
  </si>
  <si>
    <t>Implement Data Loss Prevention (DLP) strategy to prevent data from being lost, stolen, or accessed by unauthorized individuals.</t>
  </si>
  <si>
    <t>IT-04</t>
  </si>
  <si>
    <t>Disasters</t>
  </si>
  <si>
    <t>A disaster can cause severe damage to your data center infrastructure, affecting your availability, performance, and security whether it is a flood, fire, earthquake, storm, or any other extreme event</t>
  </si>
  <si>
    <t>Human caused disasters, Natural Disasters, Fire, Flood, storms, etc.</t>
  </si>
  <si>
    <t>Data center with all technologies are broken</t>
  </si>
  <si>
    <t>IT-05</t>
  </si>
  <si>
    <t>Access/ Authorization Control</t>
  </si>
  <si>
    <t>Unauthorized Physical Access</t>
  </si>
  <si>
    <t> A person gains physical access without permission to a network, system, application, data, or other resource. </t>
  </si>
  <si>
    <t>Inadequate/Weakness in the physical controls</t>
  </si>
  <si>
    <t>Intruder reaches data center</t>
  </si>
  <si>
    <t>Mostly Ineffective</t>
  </si>
  <si>
    <t>Security Guards
Fences, Cages, and Walls
Doors with Locks</t>
  </si>
  <si>
    <t>IT-06</t>
  </si>
  <si>
    <t>Third Party Disclosure</t>
  </si>
  <si>
    <t>Disclose a confidential data by a third party.</t>
  </si>
  <si>
    <t>Information leakage or Disclosure of passwords</t>
  </si>
  <si>
    <t>Company's confidential information gets leaked</t>
  </si>
  <si>
    <t>Acceptable</t>
  </si>
  <si>
    <t>NDA can be signed with the Third Party</t>
  </si>
  <si>
    <t>IT-07</t>
  </si>
  <si>
    <t>Conflict With Third Party</t>
  </si>
  <si>
    <t>Conflict in terms or Unplanned consequences</t>
  </si>
  <si>
    <t>Breach of contractual relations, Damage caused by a third party, Damages resulting from penetration testing or Failure of communication links</t>
  </si>
  <si>
    <t>Losing some data or affecting a system</t>
  </si>
  <si>
    <t>LA-01</t>
  </si>
  <si>
    <t>Compliance_Legal</t>
  </si>
  <si>
    <t>Litigation/Liability, Ethics</t>
  </si>
  <si>
    <t>Legal Affairs</t>
  </si>
  <si>
    <t>Legal and Compliance</t>
  </si>
  <si>
    <t>Litigation and Legal Conflict Management</t>
  </si>
  <si>
    <t xml:space="preserve">Inefficient response and management of litigations and legal conflicts with the internal or external parties. </t>
  </si>
  <si>
    <t xml:space="preserve">Legal Affairs &amp; Contracts Manager </t>
  </si>
  <si>
    <t>Advisor to CEO of Legal Affairs and Governance</t>
  </si>
  <si>
    <t>New and unusual cases
Limited experience in responding to new litigations</t>
  </si>
  <si>
    <t xml:space="preserve">Financial risk: due to compensation costs linked with the lawsuits. 
Operational risks: canceling ongoing projects due to legal issues 
Reputation risks: negative impact on the company's image in the market and among customers and loss of trust 
Strategic risks: legal issues may affect the company's expansion or strategic plans 
Psychological risks: tense work environment </t>
  </si>
  <si>
    <t>NO</t>
  </si>
  <si>
    <t>RELATED POLICIES AND PROCEDURES</t>
  </si>
  <si>
    <t>Mitigate, Accept</t>
  </si>
  <si>
    <t>Flixible policies and procedures</t>
  </si>
  <si>
    <t>CEO of Legal Affairs, Governance, and Compliance</t>
  </si>
  <si>
    <t>the action plan and relevant
dates will be updated when the risk accure</t>
  </si>
  <si>
    <t>LA-02</t>
  </si>
  <si>
    <t>Breaches</t>
  </si>
  <si>
    <t>Governance and Compliance, Legal Affairs</t>
  </si>
  <si>
    <t>Compliance risks</t>
  </si>
  <si>
    <t xml:space="preserve">Failure to comply with current regulations set by  the government and semi-governmental bodies may result in fines, penalties and, in the worst case scenario, a plant being shutdown.  </t>
  </si>
  <si>
    <t xml:space="preserve">Governance and Compliance Manager - Legal Affairs &amp; Contracts Manager </t>
  </si>
  <si>
    <t>Complex organizational changes
Multiple jurisdictions
Lack of supporting information
Frequently changing regulations</t>
  </si>
  <si>
    <t>Plant being shutdown
Loss of reputation</t>
  </si>
  <si>
    <t>Yes</t>
  </si>
  <si>
    <t>updated laws and recent changes for references, documented cases and contracts</t>
  </si>
  <si>
    <t xml:space="preserve">Create and update a compliance guide continuously and attend training workshops held by regulators on the latest regulations
</t>
  </si>
  <si>
    <t>15/12/2024</t>
  </si>
  <si>
    <t>The Compliance Manual is updated quarterly or more frequently as needed.</t>
  </si>
  <si>
    <t>LA-03</t>
  </si>
  <si>
    <t>Strategic, Compliance</t>
  </si>
  <si>
    <t>Legal Change</t>
  </si>
  <si>
    <t>Changing Government regulations in Saudi Arabia</t>
  </si>
  <si>
    <t>Unforeseen changes to governmental regulations resulting in potential increased costs</t>
  </si>
  <si>
    <t>Advisor to CEO of Legal Affairs and compliance</t>
  </si>
  <si>
    <t>Multiple regulatory parties
Complex regulatory changes
Lack of clarity of the information distributed on different communication channels</t>
  </si>
  <si>
    <t>Stopping business operations: Sudden legal changes can bring a company's business operations to a complete halt,
 such as bans on activities or revocation of operating licenses
Fines and financial penalties: to the extent of exceeding annual budget
Company Structuring:company may need to restructure its processes and policies very quickly to comply with new laws, requiring time, additional costs, and regulatory efforts.</t>
  </si>
  <si>
    <t>documented procedures that followed up recent information</t>
  </si>
  <si>
    <t>official and reliable communications and channels by government authorities</t>
  </si>
  <si>
    <t>M&amp;S-01</t>
  </si>
  <si>
    <t>Sales</t>
  </si>
  <si>
    <t>Marketing &amp; Sales</t>
  </si>
  <si>
    <t>Loss of key customer's / contract's</t>
  </si>
  <si>
    <t>Loss of key customer's / contract's leading to inability to sell product to market.</t>
  </si>
  <si>
    <t>Sales Manager</t>
  </si>
  <si>
    <t>Strategic decision by a key customer's to close a production plant / Project for which the company is a major supplier.  A key customer's supply contract is lost to a competitor.  Products do not meet the needs of the customer.Strict credit risk application</t>
  </si>
  <si>
    <t>not achieving company objective to increase sales volime</t>
  </si>
  <si>
    <t>decrease market share</t>
  </si>
  <si>
    <t>yes</t>
  </si>
  <si>
    <t>attached</t>
  </si>
  <si>
    <t>In the event that the customer exits the market for reasons of his own: the Marketing Department in cooperation with finance department makes sure that there are no remaining obligations by both parties.In the event of losing a Key customer and switching to another cement supplier:Ensure that all products meet customers' needs at competitive prices through periodic measurement of customer needs and satisfaction during sales representatives' daily visits</t>
  </si>
  <si>
    <t>31/12/2024</t>
  </si>
  <si>
    <t>26/02/2025</t>
  </si>
  <si>
    <t>M&amp;S-02</t>
  </si>
  <si>
    <t>mismatch the sales destination</t>
  </si>
  <si>
    <t>mismatch the discharge area to the targeted area</t>
  </si>
  <si>
    <t>There is no mechanism to track each shipment.
The customer's desire to benefit from the discounted prices of some areas and sell them in high-priced areas</t>
  </si>
  <si>
    <t>Lack of sales excellence</t>
  </si>
  <si>
    <t>Third-party tracking provider integrated with innovation system</t>
  </si>
  <si>
    <t>Q2,2025</t>
  </si>
  <si>
    <t xml:space="preserve">shift from Q1 to Q2 based on the inovation project progress </t>
  </si>
  <si>
    <t>M&amp;S-03</t>
  </si>
  <si>
    <t>Rivalry threat of new entrants</t>
  </si>
  <si>
    <t>High Rivalry by entering the competitors from outside of the Western area</t>
  </si>
  <si>
    <t>the low cement demand in general caused a high competition environment and that forced the competitors to achieve market share outside of their usual working area</t>
  </si>
  <si>
    <t>Ensure high customer satisfaction
continuous development of YCC products
offer competitive prices</t>
  </si>
  <si>
    <t>M&amp;S-04</t>
  </si>
  <si>
    <t>Inconsistency in quality level</t>
  </si>
  <si>
    <t>Receiving complaints from customers related to quality
Inability to attract customers due to products not fitting customer needs</t>
  </si>
  <si>
    <t>VP - Marketing and Sales</t>
  </si>
  <si>
    <t>Lack of alignment between the manufacturing, marketing and sales sectors with market requirements
Composition of raw materials used in manufacturing.</t>
  </si>
  <si>
    <t>Providing a concrete laboratory in the plant
Reactivating the Product Development Committee</t>
  </si>
  <si>
    <t>waiting QC department to finalize installing a concret Lab</t>
  </si>
  <si>
    <t>M&amp;S-05</t>
  </si>
  <si>
    <t>demurrage for cement export</t>
  </si>
  <si>
    <t>unavailability of  warehouse to store clinker and cement before the ship's arrival. Trucks are banned for several hours, limiting their entry into the port. There is no weigh bridge at Yanbu Port to match quantities. The shortage is due to the daily loading rate at plant is less than port loading rate.</t>
  </si>
  <si>
    <t>there is a a gap between plant loading rate ( max 600 t/d) and the vessel loading rate 3000 to 4000 t/d</t>
  </si>
  <si>
    <t>not achieving company objective to increase sales volume</t>
  </si>
  <si>
    <t>decrease marketshare</t>
  </si>
  <si>
    <t>• Utilizing the existing cement warehouse at the port, while studying the possibility of installing a cement silo and  instaling weigh bridge at Yanbu Port.
• Enterprise Resource Planning (ERP) will help confirm receipt.
• Increasing the loading rate of packed cement bags at the plant.</t>
  </si>
  <si>
    <t>30-06-2026</t>
  </si>
  <si>
    <t>16-03-2025</t>
  </si>
  <si>
    <t>SC-01</t>
  </si>
  <si>
    <t>Supplier/Vendor/Contractor Management</t>
  </si>
  <si>
    <t>Procurement</t>
  </si>
  <si>
    <t xml:space="preserve">Supply Chain </t>
  </si>
  <si>
    <t>Over-reliability and quality issue with critical Service Providers</t>
  </si>
  <si>
    <t>Unavailability of alternative critical vendor used to maintain equipment that leads to inflated prices &amp; delays in timely  repair of equipment and lack of quality in the services.</t>
  </si>
  <si>
    <t>Delays in service and product delivery
Inflated costs
Manufacturer unwilling/unable to assist
Quality issues in the services provided</t>
  </si>
  <si>
    <t>Unavailability of Service and maintenance contractor</t>
  </si>
  <si>
    <t xml:space="preserve">Choose the shortest available suppliers and negotiate with the OEMs for delivery periods. 
Sign AMCs . </t>
  </si>
  <si>
    <t>Procurement Section Head</t>
  </si>
  <si>
    <t>Continuous process</t>
  </si>
  <si>
    <t>SC-02</t>
  </si>
  <si>
    <t>Single source supplier</t>
  </si>
  <si>
    <t xml:space="preserve">Having single source of suppliers could lead to delays in production and increasing of costs in case of any problems on supplier/provider side or impossibility to negotiate contractual terms. </t>
  </si>
  <si>
    <t>Incorrect selection of vendors
Vendor inexperience
Force Majeure</t>
  </si>
  <si>
    <t>Unavailability of Spare parts</t>
  </si>
  <si>
    <t>Accept</t>
  </si>
  <si>
    <t xml:space="preserve">There is no single source suppliers except the OEMs. </t>
  </si>
  <si>
    <t>SC-03</t>
  </si>
  <si>
    <t>Supply Chain</t>
  </si>
  <si>
    <t>Inadequate supply chain/procurement management</t>
  </si>
  <si>
    <t>Unavailability of raw material, spare parts and other components resulting in a failure to meet production requirements</t>
  </si>
  <si>
    <t>Incorrect selection of vendors
Vendor inexperience
Force Majeure
Vendor bankruptcy</t>
  </si>
  <si>
    <t xml:space="preserve">Unavailability of Raw Material </t>
  </si>
  <si>
    <t>Sourcing the Spars from alternative suppliers with similar quality and delivery period.</t>
  </si>
  <si>
    <t>SC-04</t>
  </si>
  <si>
    <t xml:space="preserve">Logisitic &amp; Contract </t>
  </si>
  <si>
    <t>Logistic availability and cost</t>
  </si>
  <si>
    <t>Unavailability of container / ships space and Increase in container shipping costs</t>
  </si>
  <si>
    <t>Logisitic &amp; Contracts Management</t>
  </si>
  <si>
    <t>Increased demand from customers
Pandemic crisis
Lack of alternative economic shipping options</t>
  </si>
  <si>
    <t xml:space="preserve">Unavailability of Logistic </t>
  </si>
  <si>
    <t>Manage the shipping process through multiple options, Ex-works, shipping agency or direct shipping by suppliers.</t>
  </si>
  <si>
    <t>SC-05</t>
  </si>
  <si>
    <t>High cost of logistics operations</t>
  </si>
  <si>
    <t>Challenges associated with importing and exporting spare parts include a lack of container space, which increases costs.</t>
  </si>
  <si>
    <t>Geopolitical factors</t>
  </si>
  <si>
    <t>Diversifying import ports such as King Fahd Port in Dammam and Jebel Ali as an additional solution.
Continuous coordination with traffic and carriers to avoid the negative impact of the ban on the entry of trucks</t>
  </si>
  <si>
    <t>SC-06</t>
  </si>
  <si>
    <t>Contract Management</t>
  </si>
  <si>
    <t>Inability to negotiate /execute contractual terms with third-parties in-line with YCC's objectives</t>
  </si>
  <si>
    <t>Client T&amp;C demands
Changing regulatory environment
Global engagements 
Different country requirements 
Demanding c/ inflexible clients</t>
  </si>
  <si>
    <t xml:space="preserve">Contract Termination </t>
  </si>
  <si>
    <t>Multiple contractor are sourced for the contracts in case of contract termination.</t>
  </si>
  <si>
    <t>WH-01</t>
  </si>
  <si>
    <t>Fire Life Safety</t>
  </si>
  <si>
    <t>Warehouse</t>
  </si>
  <si>
    <t>Fire risk in warehouses</t>
  </si>
  <si>
    <t>There is a possibility of a fire occurring in the warehouses as there is no fire fighting system</t>
  </si>
  <si>
    <t>Warehouse Manager</t>
  </si>
  <si>
    <t>Safety Section Head </t>
  </si>
  <si>
    <t>The presence of flammable materials / There are no fire-fighting systems / There are flammable insulation materials for the main WH</t>
  </si>
  <si>
    <t>The outbreak of a major fire affects the safety of individuals and causes significant material losses and damage to spare parts</t>
  </si>
  <si>
    <t>Internal Control, 3rd Party Contract</t>
  </si>
  <si>
    <t>risk has Business impact</t>
  </si>
  <si>
    <t>warehouse department transferred bag filters (Highly flammable materials) from the main warehouse to  a distant warehouse</t>
  </si>
  <si>
    <t>warehouse manager</t>
  </si>
  <si>
    <t>WH-02</t>
  </si>
  <si>
    <t>Fraud, Ethics</t>
  </si>
  <si>
    <t>Risk of theft in the warehouse</t>
  </si>
  <si>
    <t>Risk of spare parts theft in the warehouse</t>
  </si>
  <si>
    <t>There are high-priced materials in the warehouse</t>
  </si>
  <si>
    <t>Loss of spare parts due to theft</t>
  </si>
  <si>
    <t>Additional cameras were installed in 2022, and an additional gate was installed in the same year</t>
  </si>
  <si>
    <t>PQC-01</t>
  </si>
  <si>
    <t xml:space="preserve">Resiliance/ Business Continuity/ Crisis Management </t>
  </si>
  <si>
    <t>PQC</t>
  </si>
  <si>
    <t>Manufacturing</t>
  </si>
  <si>
    <t>Absence of Geological Study</t>
  </si>
  <si>
    <t xml:space="preserve">In absence of Geological Study, Quality and operation may be affected </t>
  </si>
  <si>
    <t>PQC Manager</t>
  </si>
  <si>
    <t>Superintendent Quarry</t>
  </si>
  <si>
    <t>(1) Limestone: Without Mining Plan, argillaceous material, overburden and high Chloride material can affect the quality and sustanability of operation. 
(2)Raw Materials: Quality of Raw Materials can affect the operation and Quality of Product without Mining Plan (Geological Study).</t>
  </si>
  <si>
    <t>(1)Without assessment of Life of Quarry through Geological Study there is uncertainty about Limestone reserve, which can affect the businesss continuity.
(2) Without Proper Mining Plan, Limestone or Raw Materials quality is not controlled according to Operational requirements which can hinder the Operation.</t>
  </si>
  <si>
    <t xml:space="preserve"> Production Sustainability 
</t>
  </si>
  <si>
    <t xml:space="preserve">PR : 12300300                               PO: </t>
  </si>
  <si>
    <t xml:space="preserve">Geological Study &amp; Mining plan </t>
  </si>
  <si>
    <t xml:space="preserve">PQC Manager </t>
  </si>
  <si>
    <r>
      <rPr>
        <sz val="12"/>
        <color rgb="FF000000"/>
        <rFont val="Arial"/>
        <scheme val="minor"/>
      </rPr>
      <t xml:space="preserve">Geological Study:
Phase 1 : Verification and validation of old Geological Study </t>
    </r>
    <r>
      <rPr>
        <b/>
        <sz val="12"/>
        <color rgb="FF000000"/>
        <rFont val="Arial"/>
        <scheme val="minor"/>
      </rPr>
      <t xml:space="preserve">(Done)
</t>
    </r>
    <r>
      <rPr>
        <sz val="12"/>
        <color rgb="FF000000"/>
        <rFont val="Arial"/>
        <scheme val="minor"/>
      </rPr>
      <t>Phase 2: Geological Study &amp; Mining plan (2026)</t>
    </r>
  </si>
  <si>
    <t>PQC-02</t>
  </si>
  <si>
    <t>Pollution Control</t>
  </si>
  <si>
    <t>HSE</t>
  </si>
  <si>
    <t>Environmental risks associated with the plant</t>
  </si>
  <si>
    <t xml:space="preserve">Pollution resulted from bypass dust landfilling </t>
  </si>
  <si>
    <t>HSE Manager</t>
  </si>
  <si>
    <t>Production manager</t>
  </si>
  <si>
    <t xml:space="preserve">By product of the operation </t>
  </si>
  <si>
    <t>improper control will lead to environmental pollution and violation</t>
  </si>
  <si>
    <t>Environmental violation</t>
  </si>
  <si>
    <t>Bypass dust collection Report</t>
  </si>
  <si>
    <t>,- Explore less impurites raw material source.
- Explore opportunities to utilize dust in the Production process.
- Continuously searching for options bypass dust treatment technologies.</t>
  </si>
  <si>
    <t>Production Manager</t>
  </si>
  <si>
    <t>METH-01</t>
  </si>
  <si>
    <t>Methods</t>
  </si>
  <si>
    <t>Failure of critical Equipment</t>
  </si>
  <si>
    <t>Lack of predectivie maintenance plans (Inspection schedule compliance) resulting in critical equipment breakdown or under performance.</t>
  </si>
  <si>
    <t>Methods manager</t>
  </si>
  <si>
    <t>Riliability supervisor</t>
  </si>
  <si>
    <t>Manpower shortage
Manpower skills and experience shortage</t>
  </si>
  <si>
    <t>Equipment failure &amp; stoppage</t>
  </si>
  <si>
    <t>Operational excellence</t>
  </si>
  <si>
    <t>Inspection schedule</t>
  </si>
  <si>
    <t>Intiate and implement inspection shedule
Qualified Manpower hiring
Provide training</t>
  </si>
  <si>
    <t>METH-02</t>
  </si>
  <si>
    <t>performance defect</t>
  </si>
  <si>
    <t>Inaccurate shutdown plan and scheduling</t>
  </si>
  <si>
    <t>Scheduler 
Planner</t>
  </si>
  <si>
    <t>Unavailabilty of spares
Lack of skilled external manpower</t>
  </si>
  <si>
    <t>delay scehdule (Delay of production)</t>
  </si>
  <si>
    <t>Budgeted Production</t>
  </si>
  <si>
    <t>Shutdown schedule</t>
  </si>
  <si>
    <t>Ensure good coordination  required Scope of works and spares on time
Select qualified contractor</t>
  </si>
  <si>
    <t>MECH-01</t>
  </si>
  <si>
    <t>Mechanical</t>
  </si>
  <si>
    <t xml:space="preserve">Breakdown and Trouble shooting </t>
  </si>
  <si>
    <t>Frequent breakdown and trouble shooting for plant mechanical equipments</t>
  </si>
  <si>
    <t>Mechanical Manager</t>
  </si>
  <si>
    <t xml:space="preserve">Production Manager
Mechanical Manager
Methods Manager
</t>
  </si>
  <si>
    <t>Low inputs from first level inspection 
Non availability of machines to carry out maintenance activities</t>
  </si>
  <si>
    <t xml:space="preserve">production line long stoppage in case of major breakdown </t>
  </si>
  <si>
    <t>plant productivity
Maintenance cost
plant Kpi's</t>
  </si>
  <si>
    <t>Stoppages Report</t>
  </si>
  <si>
    <t>Patroller (Person) check lists should be improved and cover all equipments.
Execution on time of WOs (Work Order).
Technical training plan to improve manpower skills</t>
  </si>
  <si>
    <t>Maintenance &amp; production Managers</t>
  </si>
  <si>
    <t>MECH-02</t>
  </si>
  <si>
    <t xml:space="preserve">Planned Preventive Maintenance </t>
  </si>
  <si>
    <t>Avoiding or skipping PMs (Preventive Maintenance) resulting plant equipments will be in corrective maitenance which will effect badly the Reliability of equipment and may lead to Major stoppages</t>
  </si>
  <si>
    <t>Non-availability of machines to carry out preventive actitivities due to
Sales requirements
low silo levels</t>
  </si>
  <si>
    <t>Major stoppages due to lack of preventive maintenanace</t>
  </si>
  <si>
    <t>PM Schedules</t>
  </si>
  <si>
    <t>Avoid</t>
  </si>
  <si>
    <t>Follow up of preventive maintencnce and increase the frequency of inspection critical equipments with good scheduling and coordination.</t>
  </si>
  <si>
    <t>Maintenance Manager</t>
  </si>
  <si>
    <t>its daily follow up in maitenance procedure with Oracle system and Method department</t>
  </si>
  <si>
    <t>MECH-03</t>
  </si>
  <si>
    <t xml:space="preserve">Exceeding time for Major Shutdown </t>
  </si>
  <si>
    <t>Annual kiln shutdown (KSD) not performed and major maintenance activities not done on time.</t>
  </si>
  <si>
    <t>All the department &amp; Top Management</t>
  </si>
  <si>
    <t>Change in plan decision for KSD schedule
Unavailable spare parts
Shortage in resources</t>
  </si>
  <si>
    <t>If yearly shutdown plan not implemented, will have Trouble shooting , negative effect on the plant KPI's and plant productivity</t>
  </si>
  <si>
    <t>plant productivity
Maintenance cost
plant Kpi's
sales could be affected on long term incase of big damages</t>
  </si>
  <si>
    <t>Yealy KSD Plan and progress report</t>
  </si>
  <si>
    <t xml:space="preserve">1- Identify the task list
2- Prepare the time frame and determine the critical path
3- Define the requird resources and spares
4- Prepare the technical scopes of work 
5- Supervision and execution
6- Commissioning
7- Shutdown Closing, feedback, and recommendation </t>
  </si>
  <si>
    <t>Always following  up oracle shutdown work orders once we finished the shutdown</t>
  </si>
  <si>
    <t>MECH-04</t>
  </si>
  <si>
    <t xml:space="preserve">Annual projects delayed </t>
  </si>
  <si>
    <t xml:space="preserve">Annual projects not implemented or not executed </t>
  </si>
  <si>
    <t>Project Manager
Mechanical Manager</t>
  </si>
  <si>
    <t>Unavailability of enough support documents to justify the project proposed and get approval.
Delay of project execution.</t>
  </si>
  <si>
    <t>Delayed project execution or commissioning may lead to negativly effecting the equipments and production.
Shortage of strategic spare parts.</t>
  </si>
  <si>
    <t>plant productivity
Maintenance cost
plant Kpi's
sales could affect on long term incase of big damages</t>
  </si>
  <si>
    <t xml:space="preserve">1- Identify the project list
2- Study and prepare supporting document to obtain technical approval
3- Prepare technical scopes of work
4- Coordinate with concerned departments
5- Execution and commissioning  </t>
  </si>
  <si>
    <t>Maintenance Manager
Project Manager</t>
  </si>
  <si>
    <t>Normal practice in all plant projects</t>
  </si>
  <si>
    <t>HSE-01</t>
  </si>
  <si>
    <t>Operational, Strategic, Compliance, Financial</t>
  </si>
  <si>
    <t>Major Health and Safety incident</t>
  </si>
  <si>
    <t>Failure to establish and maintain robust health and safety management systems. (Workplace conditions, machine failure,...)</t>
  </si>
  <si>
    <t>HSE Manager, Risk management &amp; BCM, HR</t>
  </si>
  <si>
    <t>Inadequate management systems in place
Lack of SOPs and procedure 
Human Error and mistakes
Insufficent safety team manpower 
insufficent training to safety team to increase their general knowladge and skills (as continouse improvement)</t>
  </si>
  <si>
    <t>Incidents in work place lead to undesired losses like (injuries, damage, ...)</t>
  </si>
  <si>
    <t xml:space="preserve">Loss of the some customers,
Compliance of legal rules,
Competition affect
</t>
  </si>
  <si>
    <t>The production will be affected, as fatilities or failure of equipment will cause shorting in supplying the product to others</t>
  </si>
  <si>
    <t>1- incidents lists and investigation reports .
 2- IMS documents</t>
  </si>
  <si>
    <t>Nebosh training for key employees,
Provide Basic Safety training for all the employees,
Continuose Awarness for the employees, full fill the required number of safety officers as HR ministry requirement</t>
  </si>
  <si>
    <t>HSE Team</t>
  </si>
  <si>
    <t>1- the continouse employees training and awarness is followed.
2- The Nebosh training is planned to be done in 2025.
3- the number of safety team memebers is still below the required.</t>
  </si>
  <si>
    <t>HSE-02</t>
  </si>
  <si>
    <t>Catastrophic Property Damage</t>
  </si>
  <si>
    <t>A problem cause severe damage to the plant or leading to a major incidents like fire or explosion therefore resulted in prolonged shut-down.</t>
  </si>
  <si>
    <t xml:space="preserve">HSE Manager, Manufactring departments managers </t>
  </si>
  <si>
    <t xml:space="preserve">Sudden failure for main equipments
natural disasters
Human mistakes 
Old equipments (exceeded the life time)
 </t>
  </si>
  <si>
    <t xml:space="preserve">Shortage of strategic spare parts therefore caused production stop for a long period of time. Or human loss </t>
  </si>
  <si>
    <t xml:space="preserve">Affecting the producing processes, 
Increasing in the insurance policy
</t>
  </si>
  <si>
    <t xml:space="preserve">Failure to compliance to provide required production </t>
  </si>
  <si>
    <t xml:space="preserve">1- Fire fighting equipmnet maintenance contract.
</t>
  </si>
  <si>
    <t>Regular check and inspection, preventive maintenance schadual follow up</t>
  </si>
  <si>
    <t>HSE manager and manufactring departments managers</t>
  </si>
  <si>
    <t>HSE-03</t>
  </si>
  <si>
    <t>A fire cause severe damage to the plant facilities due to unavailability of firefighting and fire alarm systems (which is also associated with the requirements for obtaining a civil defense license)</t>
  </si>
  <si>
    <t>HSE Manager, Project manager, Risk management &amp; BCM manager</t>
  </si>
  <si>
    <t>Insufficient or lack of fire fighting and fire alarm equipment and systems (avaliability or maintenance)</t>
  </si>
  <si>
    <t>Huge fire effect on plant equipment and facilities, Compliance of legal rules</t>
  </si>
  <si>
    <t>Increasing in the insurance policy, Failed to obtain government licenses</t>
  </si>
  <si>
    <t>unproper controling for any fire lead to several looses, failed of obtain government licenses lead to get violations and penalty</t>
  </si>
  <si>
    <t xml:space="preserve">1- fire fighting maintenance contract </t>
  </si>
  <si>
    <t>- By implementing and installing the required fire fighting and fire alarm systems.
- firefighting systems maintenance contract.</t>
  </si>
  <si>
    <t xml:space="preserve">YCC management </t>
  </si>
  <si>
    <t xml:space="preserve">1- We have contract to maintain the exist firefighting systems.
2- And working on complete the project of installing FF and FA systems. </t>
  </si>
  <si>
    <t>HSE-04</t>
  </si>
  <si>
    <t>Safety Risk</t>
  </si>
  <si>
    <t>Influential incidents during the implementation of work</t>
  </si>
  <si>
    <t>HSE Manager, manufactring departmenets Managers</t>
  </si>
  <si>
    <t xml:space="preserve">
Lack of tools Maintenance or inspection
Lack of vehicles maintenance
Lack of SOPs
Lack in following the required safety rules 
Unproper tools using </t>
  </si>
  <si>
    <t>Incident in work place lead to undesired losses like (injuries, damage, ...)</t>
  </si>
  <si>
    <t>Compliance of legal rules, 
 lack of production</t>
  </si>
  <si>
    <t>1- Tools check list
2- Work procedures and instructions</t>
  </si>
  <si>
    <t>1- Continuous tools inspection practice (regularly), Make available the required Tools and Predictive Equipment's. 2-list the risk assessments for departments tasks.</t>
  </si>
  <si>
    <t>manufactring departments managers</t>
  </si>
  <si>
    <t>HSE-05</t>
  </si>
  <si>
    <t>Operational, Compliance, Strategic</t>
  </si>
  <si>
    <t xml:space="preserve">Increasing of incidents rate </t>
  </si>
  <si>
    <t>Insufficient training provided to all levels,
Insufficient awarness provided to all levels,
Lack of implementation the safety rules and system,
Allowing the unskilled person from work on tasks out from his competence</t>
  </si>
  <si>
    <t>Lost time injury and death or failure to fulfil with the duty requirements</t>
  </si>
  <si>
    <t xml:space="preserve">Compliance of legal rules,
Competition affect
</t>
  </si>
  <si>
    <t>yes, depends on the incidents types and results</t>
  </si>
  <si>
    <t>1- incidents lists and investigation reports 
2- training records.
3- Safety toolbox talk records.</t>
  </si>
  <si>
    <t>Good Occupational Health and Safety Management by implemnting and following the (work instruction and SOPs), reveiw the safety team employees number, provide more trainings especially for the safety team</t>
  </si>
  <si>
    <t>HSE Manager, HR manager, manufactring department managers</t>
  </si>
  <si>
    <t>HSE-06</t>
  </si>
  <si>
    <t xml:space="preserve">Effective mistakes by the customers lead to major incidents </t>
  </si>
  <si>
    <t>HSE Manager, Risk management &amp; BCM</t>
  </si>
  <si>
    <t>HSE Manager, Sales Manager, Production manager</t>
  </si>
  <si>
    <t xml:space="preserve">Low awarness to safety rules and procedures lead to do unsafe acts by the customers inside the plant
Lack of Instructions, violations and penalties lists for the customers to control their processes
</t>
  </si>
  <si>
    <t>Incidents in the plant lead to undesired losses like (Injuries, Death, damage, ...)</t>
  </si>
  <si>
    <t>Lack of implementation of safety rules and system on customers</t>
  </si>
  <si>
    <t xml:space="preserve">1- HSE daily report (Hazards and NCRs sheets)
</t>
  </si>
  <si>
    <t>implement of violations and penalties list, asses the procedures and take control actions to reduce the risk rating or level</t>
  </si>
  <si>
    <t>Risk management &amp; BCM</t>
  </si>
  <si>
    <r>
      <rPr>
        <b/>
        <sz val="12"/>
        <color rgb="FF000000"/>
        <rFont val="Arial"/>
        <scheme val="minor"/>
      </rPr>
      <t xml:space="preserve">1. Control Actions
</t>
    </r>
    <r>
      <rPr>
        <sz val="12"/>
        <color rgb="FF000000"/>
        <rFont val="Arial"/>
        <scheme val="minor"/>
      </rPr>
      <t xml:space="preserve">Develop Procedures: Create clear procedures that outline how to comply with regulations and avoid violations. This can include training programs, regular audits, and clear communication channels.
Implement Training Programs: Regular training for employees about compliance, highlighting the importance of adhering to regulations.
Establish Monitoring Mechanisms: Set up ongoing monitoring processes to identify potential violations early.
Internal Audits: Schedule regular audits to ensure compliance and identify areas for improvement.
</t>
    </r>
    <r>
      <rPr>
        <b/>
        <sz val="12"/>
        <color rgb="FF000000"/>
        <rFont val="Arial"/>
        <scheme val="minor"/>
      </rPr>
      <t xml:space="preserve">2. Documentation and Communication
</t>
    </r>
    <r>
      <rPr>
        <sz val="12"/>
        <color rgb="FF000000"/>
        <rFont val="Arial"/>
        <scheme val="minor"/>
      </rPr>
      <t xml:space="preserve">Document Procedures: Create a formal document that outlines all procedures, responsibilities, and penalties related to violations.
Communicate Policies: Ensure all employees are aware of the policies and the consequences of violations through meetings, emails, or an internal portal.
</t>
    </r>
    <r>
      <rPr>
        <b/>
        <sz val="12"/>
        <color rgb="FF000000"/>
        <rFont val="Arial"/>
        <scheme val="minor"/>
      </rPr>
      <t xml:space="preserve">3. Implementation and Control
</t>
    </r>
    <r>
      <rPr>
        <sz val="12"/>
        <color rgb="FF000000"/>
        <rFont val="Arial"/>
        <scheme val="minor"/>
      </rPr>
      <t xml:space="preserve">Assign Responsibilities: Designate specific individuals or teams responsible for compliance and monitoring.
Resource Allocation: Ensure that adequate resources (time, personnel, budget) are allocated to compliance efforts.
</t>
    </r>
    <r>
      <rPr>
        <b/>
        <sz val="12"/>
        <color rgb="FF000000"/>
        <rFont val="Arial"/>
        <scheme val="minor"/>
      </rPr>
      <t xml:space="preserve">4. Review and Adjust
</t>
    </r>
    <r>
      <rPr>
        <sz val="12"/>
        <color rgb="FF000000"/>
        <rFont val="Arial"/>
        <scheme val="minor"/>
      </rPr>
      <t xml:space="preserve">Regular Review: Periodically review the effectiveness of control actions and update procedures based on feedback, audit results, or changes in regulations.
Risk Rating Reevaluation: After implementing control measures, reassess the risk levels to see if they have improved.
</t>
    </r>
    <r>
      <rPr>
        <b/>
        <sz val="12"/>
        <color rgb="FF000000"/>
        <rFont val="Arial"/>
        <scheme val="minor"/>
      </rPr>
      <t xml:space="preserve">5. Reporting
</t>
    </r>
    <r>
      <rPr>
        <sz val="12"/>
        <color rgb="FF000000"/>
        <rFont val="Arial"/>
        <scheme val="minor"/>
      </rPr>
      <t>Establish Reporting Mechanisms: Create a process for reporting violations and penalties, ensuring that it is clear and accessible.
Feedback Loop: Implement a mechanism for employees to report concerns without fear of retaliation.</t>
    </r>
  </si>
  <si>
    <t>HSE-07</t>
  </si>
  <si>
    <t xml:space="preserve">Effective mistakes by the contractors like suppliers (internal and external) lead to major incidents </t>
  </si>
  <si>
    <t>HSE Manager, Purchases Manager, Production manager</t>
  </si>
  <si>
    <t xml:space="preserve">Low awarness to safety rules and procedures lead to do unsafe acts inside the plant
Lack of violations and penalties list, for the suppliers to control their processes
</t>
  </si>
  <si>
    <t>Lack of implementation of safety rules and system on suppliers (contractors)</t>
  </si>
  <si>
    <t>1- HSE daily report (Harads and NCRs sheets)
2- Incidents list</t>
  </si>
  <si>
    <t>HSE-08</t>
  </si>
  <si>
    <t>Waste Management</t>
  </si>
  <si>
    <t xml:space="preserve">Muncipilty Waste </t>
  </si>
  <si>
    <t>irregular undisposal Muncipilty Waste , Handling of hazardous waste and Solid waste (scrap waste )</t>
  </si>
  <si>
    <t>Plant Services Manager</t>
  </si>
  <si>
    <t>Plant Services Manager, Warehouse, Environment Engineer</t>
  </si>
  <si>
    <t>Daily operational activities</t>
  </si>
  <si>
    <t>Waste accumilation due to abcence of contractor for disposal will lead to environmental pollution and violation</t>
  </si>
  <si>
    <t>Waste Mangament Master Sheet</t>
  </si>
  <si>
    <t>Sign contract with qualified comapany from NCEC</t>
  </si>
  <si>
    <t>Supply Chain VP</t>
  </si>
  <si>
    <t>PROJ-01</t>
  </si>
  <si>
    <t>Projects &amp; Optimization</t>
  </si>
  <si>
    <t>Projects delay</t>
  </si>
  <si>
    <t xml:space="preserve">Delay of project completion </t>
  </si>
  <si>
    <t>Projects Expert</t>
  </si>
  <si>
    <t>delay of recieving materail/ lack of man power/ defected materail/ wrong design</t>
  </si>
  <si>
    <t>delay  operation</t>
  </si>
  <si>
    <t>3.1 Production  sustainability</t>
  </si>
  <si>
    <t>Set up proper project control procedures to avoid sechedule discrepancies</t>
  </si>
  <si>
    <t>Projects expert</t>
  </si>
  <si>
    <t>21/1/2025</t>
  </si>
  <si>
    <t>Develop Projects tracker tool to capture projects execution phases.</t>
  </si>
  <si>
    <t>PQC-03</t>
  </si>
  <si>
    <t>Expiration of Mining Licence</t>
  </si>
  <si>
    <t>The Expiration of mining Licence (Clay Quarry) can disturbe operation cause financial losses, and results in legal penalties</t>
  </si>
  <si>
    <t>Production stoppage, Legal Penalties</t>
  </si>
  <si>
    <t xml:space="preserve">Operational Excellence </t>
  </si>
  <si>
    <t>Licence</t>
  </si>
  <si>
    <t>Review the requirements for renewing the licence.
Issue Request for renewal of clay quarry licence</t>
  </si>
  <si>
    <t>Process of renewal will start in 2026</t>
  </si>
  <si>
    <t>PQC-04</t>
  </si>
  <si>
    <t>No own Quarry for some raw material</t>
  </si>
  <si>
    <t>Unavailability of raw material (Pozzolana &amp; Clay) quarry, and the current supply is through a third party</t>
  </si>
  <si>
    <t>Production stoppage</t>
  </si>
  <si>
    <t>Explore new quarries for all raw materials</t>
  </si>
  <si>
    <t>1-Recommended new quarry location have been chosen
2-in progress with procurments</t>
  </si>
  <si>
    <t>OPT-01</t>
  </si>
  <si>
    <t>Compliance with "SEEC" Requirements</t>
  </si>
  <si>
    <t xml:space="preserve">Non Compliance with "SEEC" Requirements for line 4 </t>
  </si>
  <si>
    <t>process supervisor</t>
  </si>
  <si>
    <t>Optimization Manager, E&amp;I Manager, Production manager</t>
  </si>
  <si>
    <t>Non Compliance with "SEEC" Requirements for line 4 due to old technology.</t>
  </si>
  <si>
    <t>Viloations</t>
  </si>
  <si>
    <t xml:space="preserve"> - Operational Improvement projects.
- Optimize the operational  process.
- High grade clinker is started to be produced in L4 only, wherease premium grade is produced in L5. </t>
  </si>
  <si>
    <t xml:space="preserve">Optimization,Production, Quality </t>
  </si>
  <si>
    <t xml:space="preserve"> high-grade clinker production in L4,  premium grade continue producing in L5. Accordingly, PPC production transfered to L4 to enhance materials handling, reduce SHC. 
started early 2025, which lead to a significant positive impact.</t>
  </si>
  <si>
    <t>HSE-09</t>
  </si>
  <si>
    <t>Water Management</t>
  </si>
  <si>
    <t xml:space="preserve">The Water Outfalls discharging location </t>
  </si>
  <si>
    <t>Inappropriate water outfalls locations</t>
  </si>
  <si>
    <t>The outfalls Locations in shallow water in which no in compliance with NCEC regulations</t>
  </si>
  <si>
    <t>water pollution and violations</t>
  </si>
  <si>
    <t>Plant Environmental Licence and requirments</t>
  </si>
  <si>
    <t>Sign contract with qualified company from NCEC to Modify the discharging points and defind the new mixing zone area</t>
  </si>
  <si>
    <t>Waiting the approval of NCEC on the submittied project to be implemented.</t>
  </si>
  <si>
    <t>HSE-10</t>
  </si>
  <si>
    <t xml:space="preserve">Plant Environmental Permit Requirments </t>
  </si>
  <si>
    <t>Failure to implement the requirements of NCEC</t>
  </si>
  <si>
    <t xml:space="preserve"> incompliance to NCEC Regulations</t>
  </si>
  <si>
    <t xml:space="preserve">Wthout complying with all Requirments  no Permits </t>
  </si>
  <si>
    <t>complying with all the requirments and regulations of NCEC</t>
  </si>
  <si>
    <t>HSE-11</t>
  </si>
  <si>
    <t>The Plant is located near a natural turtles reserve area</t>
  </si>
  <si>
    <t>Environment Head</t>
  </si>
  <si>
    <t>Plant activities is effecting the turtle reserve area</t>
  </si>
  <si>
    <t>Violations and costly project</t>
  </si>
  <si>
    <t>Complying with all Requirments and regulations</t>
  </si>
  <si>
    <t>Optimization Manager</t>
  </si>
  <si>
    <t>MECH-05</t>
  </si>
  <si>
    <t>Spare part shortage</t>
  </si>
  <si>
    <t>Shortage of strategic spare parts to carry out the maintenance activities for main plant equipments</t>
  </si>
  <si>
    <t>Maintenance</t>
  </si>
  <si>
    <t xml:space="preserve">Maintenance department &amp; Top Management  </t>
  </si>
  <si>
    <t xml:space="preserve">Strategic spare parts list not covering all critical assets
No approval / no budget for purchase </t>
  </si>
  <si>
    <t>Long stoppage of production line
maintenance KPI's will be affected.
Production lost.</t>
  </si>
  <si>
    <t>Plant productivity 
Maintenance cost
plant Kpi's</t>
  </si>
  <si>
    <t xml:space="preserve">Asset criticality to identify the strategic spare part list.
Including in capex and maintenance budget </t>
  </si>
  <si>
    <t>PROD-01</t>
  </si>
  <si>
    <t>Environmental Risk</t>
  </si>
  <si>
    <t>Discharging the rejected water coming from the desalination to the sea.</t>
  </si>
  <si>
    <t>Normal Daily Operation Process</t>
  </si>
  <si>
    <t>Without reject water treatment and control will cause water pollution and violations</t>
  </si>
  <si>
    <t>Third Party Report</t>
  </si>
  <si>
    <t>Sign contract with qualified company from NCEC to Modify the discharging points and define the new mixing zone area</t>
  </si>
  <si>
    <t>PROD-02</t>
  </si>
  <si>
    <t>Supply Chain, Quality</t>
  </si>
  <si>
    <t>PRODUCTION</t>
  </si>
  <si>
    <t>Raw materials</t>
  </si>
  <si>
    <t xml:space="preserve">Non availability of raw material </t>
  </si>
  <si>
    <t>Non availability of raw material due to shortage of transport and supply</t>
  </si>
  <si>
    <t>Cement production will stop.</t>
  </si>
  <si>
    <t>Production reports</t>
  </si>
  <si>
    <t xml:space="preserve"> </t>
  </si>
  <si>
    <t>proper stock management
define standby supplier.</t>
  </si>
  <si>
    <t>Production / supply chain</t>
  </si>
  <si>
    <t>Continuous</t>
  </si>
  <si>
    <t> </t>
  </si>
  <si>
    <t>PROD-03</t>
  </si>
  <si>
    <t>Efficiency/Performance</t>
  </si>
  <si>
    <t>Improper communication between CCR, field staff, and the maintenance team due to network failure will lead to high downtime of the plant.</t>
  </si>
  <si>
    <t xml:space="preserve">Network failure </t>
  </si>
  <si>
    <t>Plant stoppage, low production and high cement production cost
Safety risk</t>
  </si>
  <si>
    <t>Downtime reports
Internal Audit report</t>
  </si>
  <si>
    <t>Landline reactivation.
Walkie-Talkie Communication reactivation.</t>
  </si>
  <si>
    <t>Production</t>
  </si>
  <si>
    <t>Walkie-talkies were banned by the government. We need to check if we can reactivate them.</t>
  </si>
  <si>
    <t>PROD-04</t>
  </si>
  <si>
    <t xml:space="preserve">Resilience/ Business Continuity/ Crisis Management </t>
  </si>
  <si>
    <t>Major Health and safety incident</t>
  </si>
  <si>
    <t>Fire Hazard in Paper bag Store due to lack of  auto firefighting system.</t>
  </si>
  <si>
    <t>lack of firefighting system.</t>
  </si>
  <si>
    <t>Fire hazard may lead to loss of valuable inventory</t>
  </si>
  <si>
    <t>HSE Documents</t>
  </si>
  <si>
    <t>Auto activation of Paper bags Store firefighting system</t>
  </si>
  <si>
    <t>PROD-05</t>
  </si>
  <si>
    <t>Major Shutdown</t>
  </si>
  <si>
    <t>Risk of dispatch stop, due to problems in material extraction from Cement silos ( product with single silo, SRC&amp;LPC )</t>
  </si>
  <si>
    <t>Cement Production section head</t>
  </si>
  <si>
    <t>Risk of dispatch stop if cement silo are chock for longer duration</t>
  </si>
  <si>
    <t>Dispatch will stop, which might lead to losing the market as well as customers.</t>
  </si>
  <si>
    <t xml:space="preserve">Customer Satisfaction </t>
  </si>
  <si>
    <t>Production inspection reports</t>
  </si>
  <si>
    <t>Continuously monitoring of cement temperature/ water infiltration in silo.
Follow up of silo Filling /Empty cycle according to min/max limit.
Study of standby Silo ( Multi-chamber)</t>
  </si>
  <si>
    <t>PROD-06</t>
  </si>
  <si>
    <t>Stoppage of dispatch due to weigh bridge out of order.</t>
  </si>
  <si>
    <t>Mechanical Manager
E&amp;I Manger</t>
  </si>
  <si>
    <t xml:space="preserve">Electrical issue
Mechanical Issue </t>
  </si>
  <si>
    <t>Minting proper maintince and calibration.
Preventive maintince and calibration plan.</t>
  </si>
  <si>
    <t xml:space="preserve"> E&amp;I Manger
Mechanical Manger </t>
  </si>
  <si>
    <t>PROD-07</t>
  </si>
  <si>
    <t>Stoppage of dispatch due to failure in ERP .</t>
  </si>
  <si>
    <t>IT Manager
E&amp;I Manger</t>
  </si>
  <si>
    <t>There is risk of dispatch stoppage if there is network problem for ERP system .</t>
  </si>
  <si>
    <t>Follow up of  communication SOP
Standby option activation</t>
  </si>
  <si>
    <t>IT</t>
  </si>
  <si>
    <t>PROD-08</t>
  </si>
  <si>
    <t>Refractory</t>
  </si>
  <si>
    <t>Kiln Stoppage due to Refractory failure</t>
  </si>
  <si>
    <t>Superintendent Pyro</t>
  </si>
  <si>
    <t>Quality of refractory materials.
Life time.
Variation of process.</t>
  </si>
  <si>
    <t>Plant operation will stop.</t>
  </si>
  <si>
    <t xml:space="preserve">Operational &amp; Financial </t>
  </si>
  <si>
    <t xml:space="preserve">Down Time Analysis </t>
  </si>
  <si>
    <t>Follow shutdown Plan.
Selection of right refractory materials.
Process stability need to be maintained  in coordination with QC.
In case of any stoppage proper cooling down/heating up need to be followed up.</t>
  </si>
  <si>
    <t xml:space="preserve">Continuous </t>
  </si>
  <si>
    <t>PROD-09</t>
  </si>
  <si>
    <t>Business Plan</t>
  </si>
  <si>
    <t>Performance defect</t>
  </si>
  <si>
    <t xml:space="preserve">Shortage of Kiln Refractory  Materials </t>
  </si>
  <si>
    <t>Improper refractory management.</t>
  </si>
  <si>
    <t>Extended stoppage of the kiln and asset damage.</t>
  </si>
  <si>
    <t xml:space="preserve">Refractory Management </t>
  </si>
  <si>
    <t>1)Maintain Kiln Brick refractory material at least 1.2 set of each kiln.
2)For castable minimum one shutdown material must be always available.
3) implementation of min/max system in warehouse.</t>
  </si>
  <si>
    <t>PROD-10</t>
  </si>
  <si>
    <t xml:space="preserve">kiln stoppage due to Cooler Snowman </t>
  </si>
  <si>
    <t>Lack of operation follow up.</t>
  </si>
  <si>
    <t xml:space="preserve">
1)  High fuel consumption.
2) Kiln Stoppage</t>
  </si>
  <si>
    <t>1) Regular Inspection/ Maintenance of Shock Blaster.
2)  Regular Manual Cleaning of Cooler Inlet
3) To adjust Fuel with respect to raw Mix.
4) follow up kiln operation SOP.</t>
  </si>
  <si>
    <t>PROD-11</t>
  </si>
  <si>
    <t>Insufficient/ over clinker stock</t>
  </si>
  <si>
    <t>Lack Inventory Management</t>
  </si>
  <si>
    <t>Cement &amp; Clinker Dispatch stopped</t>
  </si>
  <si>
    <t xml:space="preserve">Implementation of  Inventory Management System </t>
  </si>
  <si>
    <t xml:space="preserve">Clinker Data Management </t>
  </si>
  <si>
    <t>Define the Min/Max limit by top management.</t>
  </si>
  <si>
    <t>PROD-12</t>
  </si>
  <si>
    <t>Product Development</t>
  </si>
  <si>
    <t>Clinker Quality ( disturbance of clinker quality after stocking in open yard )</t>
  </si>
  <si>
    <t>QC Manager</t>
  </si>
  <si>
    <t xml:space="preserve">QC Superintendent </t>
  </si>
  <si>
    <t>Detrition of Clinker(Decrease in C3S &amp; increase in LOI) due to Open yard storage for long time.</t>
  </si>
  <si>
    <t>Loss of Market
Rejection of Cement
Out of Standard compliance</t>
  </si>
  <si>
    <t>QC Records</t>
  </si>
  <si>
    <t>Follow up of Min/Max stock pile level.
Follow up for stock management system.</t>
  </si>
  <si>
    <t>PROD-13</t>
  </si>
  <si>
    <t xml:space="preserve">Supplier/Vendor/Contractor Management, Resilience/ Business Continuity/ Crisis Management </t>
  </si>
  <si>
    <t>Grinding media insufficient stock</t>
  </si>
  <si>
    <t>Mill production can reduce if required amount of grinding media is not charged to mill due to shortage of grinding media in stock.</t>
  </si>
  <si>
    <t>Financial loss due to high power cost of cement and low productivity</t>
  </si>
  <si>
    <t xml:space="preserve">Grinding media management file </t>
  </si>
  <si>
    <t>Maintain Adequate Stock: Ensure grinding media inventory is consistently sufficient.
Advance Procurement: Submit procurement requests ahead of time to avoid delays.</t>
  </si>
  <si>
    <t>Production Manger</t>
  </si>
  <si>
    <t>PROD-14</t>
  </si>
  <si>
    <t xml:space="preserve">Unavailability of sufficient Skilled Manpower ( YCC &amp; Manpower Contractor ) </t>
  </si>
  <si>
    <t>Production Manager
HR Manger
Supply Chain Manger</t>
  </si>
  <si>
    <t>Plant operation can suffer due to unavailability of sufficient skilled manpower.</t>
  </si>
  <si>
    <t>Working stress will increase
Efficiency of the CRO will suffer
Plant KPIs will be effected</t>
  </si>
  <si>
    <t>Human Capital Management</t>
  </si>
  <si>
    <t>Multi skilled operator.
Competency development program.
Internal skill development plan.
Split Manpower supply contract to two contractor.</t>
  </si>
  <si>
    <t>HR
Supply chain</t>
  </si>
  <si>
    <t>EN&amp;I-01</t>
  </si>
  <si>
    <t>Energy</t>
  </si>
  <si>
    <t>Black out</t>
  </si>
  <si>
    <t xml:space="preserve">YCC plant has only one electrical source from PowerPlant,
if this source not available that mean no electricity in the Plant &amp; Colony </t>
  </si>
  <si>
    <t>Energy Manager</t>
  </si>
  <si>
    <t>Energy Team</t>
  </si>
  <si>
    <t xml:space="preserve">Short circuit on medium voltage equipment ( Distribution Panels, Cables, Transformers &amp; motors) 
power plant internal fault of Engines OR 
Utilties (Air compressor, Transformer, Cooling water Pumps, HFO supply ring pump, etc.)
</t>
  </si>
  <si>
    <t>Power black out for
12 hours</t>
  </si>
  <si>
    <t>Production Sustainability
Colony Life Quality</t>
  </si>
  <si>
    <t>Internal Standard Operating Procedure (SOPs) for Power restore</t>
  </si>
  <si>
    <t xml:space="preserve">Review and update the CPP(Captive Power Plant ) SOP's (Standard Operation procedures) based on the new situation and previous exprience. To resume the power as soon as possible.  </t>
  </si>
  <si>
    <t xml:space="preserve">Energy manager </t>
  </si>
  <si>
    <t>1. In the near future we are going to National grid connection, which will reduce the this risk a lot.
2. Waiting for Saudi Electricity Company &amp; ministry of energy approval for national grid connection.</t>
  </si>
  <si>
    <t>EN&amp;I-02</t>
  </si>
  <si>
    <t>Sales/Marketing</t>
  </si>
  <si>
    <t>E&amp;I</t>
  </si>
  <si>
    <t>Packing plant E&amp;I breakdown</t>
  </si>
  <si>
    <t xml:space="preserve">YCC plant has 2 lines of packing in case of  E&amp;I breakdown the cement dipatch will not be available then the customer and sales will be directly affected </t>
  </si>
  <si>
    <t>E&amp;I Team</t>
  </si>
  <si>
    <t>Breakdown in power supply , Compressed air, chilled water system  , PLC , Control system &amp;DCS ring network .</t>
  </si>
  <si>
    <t xml:space="preserve">Packing plant E&amp;I breakdown for 
12 hours </t>
  </si>
  <si>
    <t>Production Sustainability
Customer satisfaction</t>
  </si>
  <si>
    <t>Internal Standard Operating Procedure (SOPs)</t>
  </si>
  <si>
    <t>Review and apply the maintenance procedure
Required action to restore normal operation ASAP and treatment the incident</t>
  </si>
  <si>
    <t>EN&amp;I-03</t>
  </si>
  <si>
    <t>Cement mills E&amp;I breakdown</t>
  </si>
  <si>
    <t xml:space="preserve">Cement mills E&amp;I breakdown the cement stock in silos will get empitied which lead to stop of dispatch. </t>
  </si>
  <si>
    <t xml:space="preserve">12 hours </t>
  </si>
  <si>
    <t>EN&amp;I-04</t>
  </si>
  <si>
    <t>Kiln E&amp;I breakdown</t>
  </si>
  <si>
    <t>Kiln E&amp;I breakdown will stop the clincker production and it will affect the production target.</t>
  </si>
  <si>
    <t>Breakdown in power supply , VFDs for main drive and MV process fans ,Compressed air, chilled water system  , PLC , Control system &amp;DCS ring network .</t>
  </si>
  <si>
    <t>96 hours</t>
  </si>
  <si>
    <t xml:space="preserve">Production Sustainability
</t>
  </si>
  <si>
    <t>We assumed 96 hours breakdown if required stratergic spare parts availiabile.</t>
  </si>
  <si>
    <t>EN&amp;I-05</t>
  </si>
  <si>
    <t>Financial Reporting Evaluation</t>
  </si>
  <si>
    <t xml:space="preserve">Electrical energy cost. </t>
  </si>
  <si>
    <t>After national grid connection, the energy consumption tariff will be double cost.</t>
  </si>
  <si>
    <t>Energy team</t>
  </si>
  <si>
    <t xml:space="preserve">Saudi kingdom ministry of energy applied liquid fuel displacement program. Which will stop HFO using in power plant generation and replace it by national grid connection.  </t>
  </si>
  <si>
    <t xml:space="preserve">Electrical energy cost will be doubled </t>
  </si>
  <si>
    <t>Increasing operation cost.</t>
  </si>
  <si>
    <t>Renewable energy feasbility study and energy eiffiency audit.</t>
  </si>
  <si>
    <t>Get SERA permit for 30MW Renewable Energy then after applying it ASAP. 
Apply energy eiffiency recommendation.</t>
  </si>
  <si>
    <t>Legal Manager &amp; Energy Manager</t>
  </si>
  <si>
    <t>1. Exepected annual saving in case of using 30MW PV will be from 6 to 10 MSAR/ Year.
2. Renewable energy prjoect feasabilty with our consultant Ficthner is in progress. 
3- Waiting for SERA permit</t>
  </si>
  <si>
    <t>EN&amp;I-06</t>
  </si>
  <si>
    <t>High noise from engine room</t>
  </si>
  <si>
    <t>Noise from engine Hall affects the maintenance team during engine overhauling activites and workshop with other surrounding areas</t>
  </si>
  <si>
    <t>Equipment Design</t>
  </si>
  <si>
    <t>Personal hearing loss</t>
  </si>
  <si>
    <t>OSHA</t>
  </si>
  <si>
    <t>- Cover all the surrounding doors with proper sealing
- Use proper PPE’s to ensure the ear safety in the surrounding areas.
- Searching for active noise cancellation microphone and headset for communication
- Yearly medical check</t>
  </si>
  <si>
    <t>1. Risk will be eliminated after national grid connection.
2. Waiting for Saudi Electricity Company &amp; ministry of energy approval for national grid connection.
3. DAR consultant for grid impact study is in progress. (Purchase Order no. 42400339)
4. Annual medical checkup of power plant employees has been done.
5. Provided the hearing protection ppe (Ear muff/Ear plug) to all power plant employees</t>
  </si>
  <si>
    <t>EN&amp;I-07</t>
  </si>
  <si>
    <t>Pollution Control, Emissions/Air Quality</t>
  </si>
  <si>
    <t>Environment</t>
  </si>
  <si>
    <t>Gases emissions for all engines out of NCEC air quality regulation limits</t>
  </si>
  <si>
    <t>Power plant manager</t>
  </si>
  <si>
    <t xml:space="preserve">Using HFO fuel with high sulfur content </t>
  </si>
  <si>
    <t>lead to environmental pollution and violation</t>
  </si>
  <si>
    <t>Report of power plant Gases Stack</t>
  </si>
  <si>
    <t xml:space="preserve">Connecting with Saudi electricity company in progress </t>
  </si>
  <si>
    <t>1. Waiting for Saudi Electricity Company &amp; ministry of energy approval for national grid connection.
2. DAR consultant for grid impact study is in progress. (Purchase Order no. 42400339)
3- Load flow anaylysis study is in progress with DAR</t>
  </si>
  <si>
    <t>EN&amp;I-08</t>
  </si>
  <si>
    <t>Lack / shortage of skilled maintenance technician</t>
  </si>
  <si>
    <t xml:space="preserve"> E&amp;I Manager</t>
  </si>
  <si>
    <t xml:space="preserve">HR managers + E&amp;I manager </t>
  </si>
  <si>
    <t>Lack in training plan</t>
  </si>
  <si>
    <t xml:space="preserve">more breakdown </t>
  </si>
  <si>
    <t xml:space="preserve">plant productivity
Maintenance cost
plant Kpi's
</t>
  </si>
  <si>
    <t xml:space="preserve">Reliable training plan </t>
  </si>
  <si>
    <t>Prepare Training plan according needs</t>
  </si>
  <si>
    <t>E&amp;I department+ HR</t>
  </si>
  <si>
    <t>STR&amp;RISK-01</t>
  </si>
  <si>
    <t>Strategy &amp; Risk</t>
  </si>
  <si>
    <t>Business Disruption</t>
  </si>
  <si>
    <t>Sudden shocks to operations that caused immediate but relatively limited damage.</t>
  </si>
  <si>
    <t>Strategy &amp; Risk Director</t>
  </si>
  <si>
    <t xml:space="preserve">Technology; digital access to content, product and fulfilment, Innovation; new business models (often enabled by technology or data analytics) 
Customer and consumer perception of value, be that ease of access, choice and/or fulfilment mechanism
Regulatory change; Change of government leading to shifts in policy
Social movements
</t>
  </si>
  <si>
    <t>Twice a year, a workshop (BIA) is conducted to identify and evaluate departmental risks in an iterative manner and prepare a response plan.</t>
  </si>
  <si>
    <t>STR&amp;RISK-02</t>
  </si>
  <si>
    <t xml:space="preserve">Change Management </t>
  </si>
  <si>
    <t>Increased incidents / accidents due to poor change management</t>
  </si>
  <si>
    <t>Lack of embedded culture and awareness across YCC for Management of Change</t>
  </si>
  <si>
    <t>Changes Monitoring and controlling by audit and compliance reports to ensure correct execution</t>
  </si>
  <si>
    <t>STR&amp;RISK-03</t>
  </si>
  <si>
    <t>Risk Management</t>
  </si>
  <si>
    <t xml:space="preserve">YCC level of risk culture and how they can be used to help mitigate the effects of risks on business
 </t>
  </si>
  <si>
    <t xml:space="preserve">Lack of awareness,
 People, processes, systems, and external events. </t>
  </si>
  <si>
    <t>Risk assesment workshop with sector champions once a year.
Elevate risk identifications and assesment culture by broadcasting periodic posters</t>
  </si>
  <si>
    <t>STR&amp;RISK-04</t>
  </si>
  <si>
    <t>Strategic Deviation</t>
  </si>
  <si>
    <t>Strategy and plan are not clearly communicated to employees who are responsible for implementation.</t>
  </si>
  <si>
    <t>Quarterly transparent review with the heads of department to address gaps and modify plans.</t>
  </si>
  <si>
    <t>STR&amp;RISK-05</t>
  </si>
  <si>
    <t>Unregistered projects</t>
  </si>
  <si>
    <t>Unclearly communication for Projects and plans</t>
  </si>
  <si>
    <t xml:space="preserve">Organizing every six months a meetings with department heads ensuring that the Strategy Department is involved in all projects. This allows to align projects objectives &amp; KPIs with YCC strategy </t>
  </si>
  <si>
    <t>STR&amp;RISK-06</t>
  </si>
  <si>
    <t>Process Design</t>
  </si>
  <si>
    <t>The possibility that the process designs of  sectors and departments will fail to meet the requirements.</t>
  </si>
  <si>
    <t>Nonconformance to  approved process design</t>
  </si>
  <si>
    <t>Reviewing the design of operations based on the integrated management system for each sector, approving them, and following up on compliance by the sectors.</t>
  </si>
  <si>
    <t>ER-01</t>
  </si>
  <si>
    <t>Employee Relations</t>
  </si>
  <si>
    <t>incompliance to govermental regulations</t>
  </si>
  <si>
    <t>Poor familiarity with the list of government regulations and rules related to work, changes and new releases</t>
  </si>
  <si>
    <t>Compliance Manager</t>
  </si>
  <si>
    <t>Legal and Compliance/Employee Relations Manager/Center Of Excellence Manager</t>
  </si>
  <si>
    <t>Non-compliance with legal requirements and lack of regular reviews of standard operating procedures and their application to the systems and regulations related to the company’s activity</t>
  </si>
  <si>
    <t>YCC will pay financial fares.
Platfrom Suspensions.</t>
  </si>
  <si>
    <t>• Keeping pace with the systems of all government agencies related to the company.
• Conforming policies and procedures with government systems and amending the system accordingly.
• HR Transformation Project.</t>
  </si>
  <si>
    <t>Employee Relations Manager</t>
  </si>
  <si>
    <t>Treatment due date changed from 31st Oct 2024 to 30th June 2025 because the Policies is still in review and approval phase.</t>
  </si>
  <si>
    <t>ER-02</t>
  </si>
  <si>
    <t xml:space="preserve">Govermental platform registeration delay </t>
  </si>
  <si>
    <t>Govermental platform registeration delay such Qiwa, GOSI, …..</t>
  </si>
  <si>
    <t>Technical troubleshoot in the govermental platform.</t>
  </si>
  <si>
    <t>* YCC will pay financial fares.
* Platfrom Suspensions.</t>
  </si>
  <si>
    <t>Register all functions on the platform ASAP</t>
  </si>
  <si>
    <t>Employee Relations Sections Head</t>
  </si>
  <si>
    <t>WH-03</t>
  </si>
  <si>
    <t xml:space="preserve"> Falling materials</t>
  </si>
  <si>
    <t>Risk of falling materials during issuing or receiving spare parts</t>
  </si>
  <si>
    <t>Heavy Materials can be shifted using over head crane or forklifts</t>
  </si>
  <si>
    <t>Employee injury as a result of falling.</t>
  </si>
  <si>
    <t>Use appropriate equipment and tools to lift materials / Use trained operators to operate the equipment / Wear PPE's</t>
  </si>
  <si>
    <t>OPT-02</t>
  </si>
  <si>
    <t>Carbon/ Transition</t>
  </si>
  <si>
    <t>Conformance to CO2 Emission Standards</t>
  </si>
  <si>
    <t>The risk of failing to comply with evolving CO2 emission standards, resulting in penalties, increased costs.</t>
  </si>
  <si>
    <t>process supervisor, Production Team</t>
  </si>
  <si>
    <t>Optimization,Qualiy, Production, E&amp;I  &amp; HSE managers</t>
  </si>
  <si>
    <t>Insufficient controls or inability to adapt to stricter emission regulations</t>
  </si>
  <si>
    <t>Non-compliance with CO2 standards, resulting in legal penalties, higher operational costs, reputational damage, and potentially leading to plant closure in alignment with Saudi Arabia's Net Zero Emissions Vision by 2060.</t>
  </si>
  <si>
    <t>Regulatory Compliance, Sustainability</t>
  </si>
  <si>
    <t>CO2 roadmap</t>
  </si>
  <si>
    <t>Optimization,Production.</t>
  </si>
  <si>
    <t>Mitigation actions are ongoing, with an agreement underway with NCV Company to implement a system for calculating CO₂ and environmental emissions. Additionally, process optimization, such as optimizing fuel and power consumption in YCC, is reducing the company's carbon footprint.</t>
  </si>
  <si>
    <t>OPT-03</t>
  </si>
  <si>
    <t>Failure to Achieve Recognition as a Global Industry 4.0 Lighthouse Plant</t>
  </si>
  <si>
    <t>The risk that YCC company may not achieve recognition as a global leader in Industry 4.0 and digital transformation, hindering innovation and market reputation.</t>
  </si>
  <si>
    <t>Rapid global technological advancements and failure to align with the industry's 2030 vision, specifically in the cement sector</t>
  </si>
  <si>
    <t>Failing to achieve recognition, which leads to a loss of market leadership, reduced opportunities for innovation, and diminished reputation as an industry benchmark.</t>
  </si>
  <si>
    <t>Innovation, Competitiveness, Digital Transformation</t>
  </si>
  <si>
    <t>Digitalization roadmap</t>
  </si>
  <si>
    <t>Optimization</t>
  </si>
  <si>
    <t>McKinsey &amp; Company’ has established a three-year digital transformation roadmap, starting in 2025, aims to drive significant change and innovation across the organization</t>
  </si>
  <si>
    <t>Financial Affairs</t>
  </si>
  <si>
    <t>Cost</t>
  </si>
  <si>
    <t>Bribery and Corruption</t>
  </si>
  <si>
    <t>Change Management</t>
  </si>
  <si>
    <t>Approvals</t>
  </si>
  <si>
    <t>Alignment</t>
  </si>
  <si>
    <t xml:space="preserve">Biodiversity </t>
  </si>
  <si>
    <t>Crisis Communication</t>
  </si>
  <si>
    <t>Budget</t>
  </si>
  <si>
    <t>Commercial</t>
  </si>
  <si>
    <t>External Communication</t>
  </si>
  <si>
    <t>Transfer</t>
  </si>
  <si>
    <t>Funding</t>
  </si>
  <si>
    <t>Ethics</t>
  </si>
  <si>
    <t>Contractual</t>
  </si>
  <si>
    <t>Catastrophic Loss</t>
  </si>
  <si>
    <t>Remote Working</t>
  </si>
  <si>
    <t>Cyber Defence</t>
  </si>
  <si>
    <t>Construction Safety</t>
  </si>
  <si>
    <t>Accounting Information</t>
  </si>
  <si>
    <t>Compliance Culture</t>
  </si>
  <si>
    <t>Integrity</t>
  </si>
  <si>
    <t>Design</t>
  </si>
  <si>
    <t>Competition</t>
  </si>
  <si>
    <t>Cyber Incident and Exposure</t>
  </si>
  <si>
    <t>Critical Equipment</t>
  </si>
  <si>
    <t>(Social) Media</t>
  </si>
  <si>
    <t>Health &amp; Safety</t>
  </si>
  <si>
    <t>Health, Safety, Environemnt &amp; Quality</t>
  </si>
  <si>
    <t>Capital Allocation</t>
  </si>
  <si>
    <t>Conflict of Interest</t>
  </si>
  <si>
    <t>Outsourcing</t>
  </si>
  <si>
    <t>Engineering</t>
  </si>
  <si>
    <t>Industry</t>
  </si>
  <si>
    <t>Data Integrity</t>
  </si>
  <si>
    <t>Workers Welfare</t>
  </si>
  <si>
    <t>Market</t>
  </si>
  <si>
    <t>Concent decrees</t>
  </si>
  <si>
    <t>Physical Asset</t>
  </si>
  <si>
    <t>Interfaces</t>
  </si>
  <si>
    <t>Innovation</t>
  </si>
  <si>
    <t>Emissions/Air Quality</t>
  </si>
  <si>
    <t xml:space="preserve">Convenant </t>
  </si>
  <si>
    <t>Discovery</t>
  </si>
  <si>
    <t>Policy/Process/Procedures/Standards</t>
  </si>
  <si>
    <t>Logistics</t>
  </si>
  <si>
    <t>Integration</t>
  </si>
  <si>
    <t>Commodity</t>
  </si>
  <si>
    <t>Fair Competition</t>
  </si>
  <si>
    <t xml:space="preserve">Operations&amp; Maintenance </t>
  </si>
  <si>
    <t>Investment Appraisal/Assessment</t>
  </si>
  <si>
    <t>Food Safety</t>
  </si>
  <si>
    <t xml:space="preserve">Debt </t>
  </si>
  <si>
    <t>Fraud</t>
  </si>
  <si>
    <t xml:space="preserve">Procurement </t>
  </si>
  <si>
    <t>Planning</t>
  </si>
  <si>
    <t>Investor/Partnership</t>
  </si>
  <si>
    <t>Land Use</t>
  </si>
  <si>
    <t>Gifts and Entertainment</t>
  </si>
  <si>
    <t>Master Plans</t>
  </si>
  <si>
    <t>Physical Security</t>
  </si>
  <si>
    <t>Financial Controls</t>
  </si>
  <si>
    <t>System/ Technology Availability</t>
  </si>
  <si>
    <t>Scope</t>
  </si>
  <si>
    <t xml:space="preserve">Macroeconomic Volitility </t>
  </si>
  <si>
    <t>Financial Health</t>
  </si>
  <si>
    <t>Intellectual Property</t>
  </si>
  <si>
    <t>Stakeholders</t>
  </si>
  <si>
    <t>Mergers/ Acquisition/ Devistitures</t>
  </si>
  <si>
    <t>Public Safety</t>
  </si>
  <si>
    <t>Labour and Employment</t>
  </si>
  <si>
    <t xml:space="preserve">Testing &amp; Commisioning </t>
  </si>
  <si>
    <t>Product Supply/Demand</t>
  </si>
  <si>
    <t>Quality</t>
  </si>
  <si>
    <t>Currency</t>
  </si>
  <si>
    <t>Sovereign and Political</t>
  </si>
  <si>
    <t>Sustainable Design</t>
  </si>
  <si>
    <t>Interests</t>
  </si>
  <si>
    <t>Litigation/Liability</t>
  </si>
  <si>
    <t>Terrorism</t>
  </si>
  <si>
    <t xml:space="preserve">Performance Incentive </t>
  </si>
  <si>
    <t>Taxation</t>
  </si>
  <si>
    <t>Regulatory</t>
  </si>
  <si>
    <t>Tender</t>
  </si>
  <si>
    <t>Third Party</t>
  </si>
  <si>
    <t>Sactions</t>
  </si>
  <si>
    <t>Control Type</t>
  </si>
  <si>
    <t>Control Overall Effectiveness</t>
  </si>
  <si>
    <t>Velocity Scoring</t>
  </si>
  <si>
    <t>1- Ineffective</t>
  </si>
  <si>
    <t>2- Slightly Ineffective</t>
  </si>
  <si>
    <t>Cancelled </t>
  </si>
  <si>
    <t>Very high</t>
  </si>
  <si>
    <t>Very low</t>
  </si>
  <si>
    <t xml:space="preserve">Impact </t>
  </si>
  <si>
    <t>Control Effectiveness</t>
  </si>
  <si>
    <t>Rarely Effective</t>
  </si>
  <si>
    <t>منخفض جداً 1 - 6</t>
  </si>
  <si>
    <t>منخفض
 8 – 9</t>
  </si>
  <si>
    <t>متوسط 
10 – 12</t>
  </si>
  <si>
    <t>عالي
 15 – 16</t>
  </si>
  <si>
    <t>عالي جداً 
20- 25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</si>
</sst>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9" x14ac:knownFonts="1">
    <font>
      <sz val="11"/>
      <color theme="1"/>
      <name val="Arial"/>
      <family val="2"/>
      <scheme val="minor"/>
    </font>
    <font>
      <b/>
      <sz val="20"/>
      <color theme="1"/>
      <name val="Arial"/>
      <family val="2"/>
      <scheme val="minor"/>
    </font>
    <font>
      <b/>
      <sz val="11"/>
      <color theme="1"/>
      <name val="Arial"/>
      <family val="2"/>
      <scheme val="minor"/>
    </font>
    <font>
      <sz val="11"/>
      <color theme="1"/>
      <name val="Arial"/>
      <family val="2"/>
      <scheme val="minor"/>
    </font>
    <font>
      <sz val="8"/>
      <color theme="0" tint="-0.499984740745262"/>
      <name val="Arial"/>
      <family val="2"/>
      <scheme val="minor"/>
    </font>
    <font>
      <b/>
      <u/>
      <sz val="8"/>
      <color theme="0" tint="-0.499984740745262"/>
      <name val="Arial"/>
      <family val="2"/>
      <scheme val="minor"/>
    </font>
    <font>
      <sz val="11"/>
      <color indexed="8"/>
      <name val="Calibri"/>
      <family val="2"/>
    </font>
    <font>
      <sz val="8"/>
      <color rgb="FFFF0000"/>
      <name val="Arial"/>
      <family val="2"/>
      <scheme val="minor"/>
    </font>
    <font>
      <sz val="12"/>
      <color theme="1"/>
      <name val="Arial"/>
      <family val="2"/>
      <scheme val="minor"/>
    </font>
    <font>
      <sz val="20"/>
      <color rgb="FFFFFFFF"/>
      <name val="Arial"/>
      <family val="2"/>
      <scheme val="minor"/>
    </font>
    <font>
      <sz val="20"/>
      <color theme="1"/>
      <name val="Arial"/>
      <family val="2"/>
      <scheme val="minor"/>
    </font>
    <font>
      <sz val="20"/>
      <color theme="0"/>
      <name val="Arial"/>
      <family val="2"/>
      <scheme val="minor"/>
    </font>
    <font>
      <b/>
      <i/>
      <sz val="20"/>
      <color theme="0"/>
      <name val="Arial"/>
      <family val="2"/>
      <scheme val="minor"/>
    </font>
    <font>
      <b/>
      <i/>
      <sz val="20"/>
      <color theme="1"/>
      <name val="Arial"/>
      <family val="2"/>
      <scheme val="minor"/>
    </font>
    <font>
      <u/>
      <sz val="11"/>
      <color theme="10"/>
      <name val="Arial"/>
      <family val="2"/>
      <scheme val="minor"/>
    </font>
    <font>
      <b/>
      <sz val="18"/>
      <color rgb="FF000000"/>
      <name val="Sakkal Majalla"/>
    </font>
    <font>
      <b/>
      <sz val="12"/>
      <color theme="1"/>
      <name val="Arial"/>
      <family val="2"/>
      <scheme val="minor"/>
    </font>
    <font>
      <sz val="12"/>
      <color rgb="FF000000"/>
      <name val="Arial"/>
      <family val="2"/>
      <scheme val="minor"/>
    </font>
    <font>
      <sz val="12"/>
      <name val="Arial"/>
      <family val="2"/>
      <scheme val="minor"/>
    </font>
    <font>
      <u/>
      <sz val="12"/>
      <color theme="10"/>
      <name val="Arial"/>
      <family val="2"/>
      <scheme val="minor"/>
    </font>
    <font>
      <b/>
      <sz val="12"/>
      <color rgb="FF000000"/>
      <name val="Arial"/>
      <family val="2"/>
      <scheme val="minor"/>
    </font>
    <font>
      <sz val="18"/>
      <color theme="1"/>
      <name val="Arial"/>
      <family val="2"/>
      <scheme val="minor"/>
    </font>
    <font>
      <b/>
      <sz val="18"/>
      <color theme="1"/>
      <name val="Arial"/>
      <family val="2"/>
      <scheme val="minor"/>
    </font>
    <font>
      <i/>
      <sz val="12"/>
      <color theme="1"/>
      <name val="Arial"/>
      <family val="2"/>
      <scheme val="minor"/>
    </font>
    <font>
      <sz val="11"/>
      <color theme="1"/>
      <name val="Calibri"/>
      <charset val="1"/>
    </font>
    <font>
      <sz val="12"/>
      <color rgb="FF000000"/>
      <name val="Arial"/>
      <scheme val="minor"/>
    </font>
    <font>
      <b/>
      <sz val="12"/>
      <color rgb="FF000000"/>
      <name val="Arial"/>
      <scheme val="minor"/>
    </font>
    <font>
      <sz val="12"/>
      <color rgb="FF000000"/>
      <name val="Calibri"/>
      <charset val="1"/>
    </font>
    <font>
      <sz val="12"/>
      <color rgb="FF000000"/>
      <name val="Calibri"/>
      <family val="2"/>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0000"/>
        <bgColor indexed="64"/>
      </patternFill>
    </fill>
    <fill>
      <patternFill patternType="solid">
        <fgColor rgb="FF7030A0"/>
        <bgColor indexed="64"/>
      </patternFill>
    </fill>
    <fill>
      <patternFill patternType="solid">
        <fgColor theme="4"/>
        <bgColor indexed="64"/>
      </patternFill>
    </fill>
    <fill>
      <patternFill patternType="solid">
        <fgColor rgb="FF92D050"/>
        <bgColor indexed="64"/>
      </patternFill>
    </fill>
    <fill>
      <patternFill patternType="solid">
        <fgColor rgb="FFFFC000"/>
        <bgColor indexed="64"/>
      </patternFill>
    </fill>
    <fill>
      <patternFill patternType="solid">
        <fgColor rgb="FFC00000"/>
        <bgColor indexed="64"/>
      </patternFill>
    </fill>
    <fill>
      <patternFill patternType="solid">
        <fgColor rgb="FFFFFF00"/>
        <bgColor indexed="64"/>
      </patternFill>
    </fill>
    <fill>
      <patternFill patternType="solid">
        <fgColor rgb="FF70AD47"/>
        <bgColor indexed="64"/>
      </patternFill>
    </fill>
    <fill>
      <patternFill patternType="solid">
        <fgColor rgb="FFFFFFFF"/>
        <bgColor rgb="FF000000"/>
      </patternFill>
    </fill>
    <fill>
      <patternFill patternType="solid">
        <fgColor theme="9"/>
        <bgColor indexed="64"/>
      </patternFill>
    </fill>
  </fills>
  <borders count="3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slantDashDot">
        <color indexed="64"/>
      </left>
      <right style="medium">
        <color indexed="64"/>
      </right>
      <top style="medium">
        <color indexed="64"/>
      </top>
      <bottom style="medium">
        <color indexed="64"/>
      </bottom>
      <diagonal/>
    </border>
    <border>
      <left style="slantDashDot">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bottom/>
      <diagonal/>
    </border>
    <border>
      <left style="medium">
        <color rgb="FFFFFFFF"/>
      </left>
      <right style="medium">
        <color rgb="FFFFFFFF"/>
      </right>
      <top style="medium">
        <color rgb="FFFFFFFF"/>
      </top>
      <bottom style="thick">
        <color rgb="FFFFFFFF"/>
      </bottom>
      <diagonal/>
    </border>
    <border>
      <left style="medium">
        <color rgb="FF000000"/>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indexed="64"/>
      </left>
      <right style="medium">
        <color indexed="64"/>
      </right>
      <top/>
      <bottom style="medium">
        <color rgb="FF000000"/>
      </bottom>
      <diagonal/>
    </border>
    <border>
      <left style="medium">
        <color indexed="64"/>
      </left>
      <right style="medium">
        <color indexed="64"/>
      </right>
      <top style="medium">
        <color rgb="FF000000"/>
      </top>
      <bottom style="medium">
        <color rgb="FF000000"/>
      </bottom>
      <diagonal/>
    </border>
    <border>
      <left style="medium">
        <color indexed="64"/>
      </left>
      <right style="medium">
        <color indexed="64"/>
      </right>
      <top style="medium">
        <color rgb="FF000000"/>
      </top>
      <bottom style="medium">
        <color indexed="64"/>
      </bottom>
      <diagonal/>
    </border>
    <border>
      <left style="medium">
        <color rgb="FF000000"/>
      </left>
      <right style="medium">
        <color rgb="FF000000"/>
      </right>
      <top/>
      <bottom style="medium">
        <color rgb="FF000000"/>
      </bottom>
      <diagonal/>
    </border>
    <border>
      <left style="slantDashDot">
        <color indexed="64"/>
      </left>
      <right style="medium">
        <color indexed="64"/>
      </right>
      <top/>
      <bottom style="medium">
        <color indexed="64"/>
      </bottom>
      <diagonal/>
    </border>
    <border>
      <left style="medium">
        <color indexed="64"/>
      </left>
      <right style="medium">
        <color rgb="FF000000"/>
      </right>
      <top style="medium">
        <color indexed="64"/>
      </top>
      <bottom/>
      <diagonal/>
    </border>
    <border>
      <left style="medium">
        <color rgb="FF000000"/>
      </left>
      <right style="medium">
        <color indexed="64"/>
      </right>
      <top style="medium">
        <color indexed="64"/>
      </top>
      <bottom/>
      <diagonal/>
    </border>
    <border>
      <left style="medium">
        <color indexed="64"/>
      </left>
      <right style="slantDashDot">
        <color indexed="64"/>
      </right>
      <top style="medium">
        <color indexed="64"/>
      </top>
      <bottom/>
      <diagonal/>
    </border>
    <border>
      <left style="slantDashDot">
        <color indexed="64"/>
      </left>
      <right style="medium">
        <color indexed="64"/>
      </right>
      <top style="medium">
        <color indexed="64"/>
      </top>
      <bottom/>
      <diagonal/>
    </border>
    <border>
      <left/>
      <right style="medium">
        <color rgb="FF000000"/>
      </right>
      <top style="medium">
        <color rgb="FF000000"/>
      </top>
      <bottom style="medium">
        <color rgb="FF000000"/>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style="medium">
        <color indexed="64"/>
      </bottom>
      <diagonal/>
    </border>
    <border>
      <left style="medium">
        <color rgb="FF000000"/>
      </left>
      <right/>
      <top style="medium">
        <color rgb="FF000000"/>
      </top>
      <bottom style="medium">
        <color rgb="FF000000"/>
      </bottom>
      <diagonal/>
    </border>
  </borders>
  <cellStyleXfs count="4">
    <xf numFmtId="0" fontId="0" fillId="0" borderId="0"/>
    <xf numFmtId="0" fontId="3" fillId="0" borderId="0"/>
    <xf numFmtId="0" fontId="6" fillId="0" borderId="0" applyNumberFormat="0" applyFill="0" applyBorder="0" applyProtection="0"/>
    <xf numFmtId="0" fontId="14" fillId="0" borderId="0" applyNumberFormat="0" applyFill="0" applyBorder="0" applyAlignment="0" applyProtection="0"/>
  </cellStyleXfs>
  <cellXfs count="168">
    <xf numFmtId="0" fontId="0" fillId="0" borderId="0" xfId="0"/>
    <xf numFmtId="0" fontId="2" fillId="0" borderId="0" xfId="0" applyFont="1"/>
    <xf numFmtId="0" fontId="0" fillId="3" borderId="0" xfId="0" applyFill="1"/>
    <xf numFmtId="0" fontId="8" fillId="0" borderId="0" xfId="0" applyFont="1"/>
    <xf numFmtId="0" fontId="9" fillId="5" borderId="4" xfId="0" applyFont="1" applyFill="1" applyBorder="1" applyAlignment="1">
      <alignment vertical="center" wrapText="1"/>
    </xf>
    <xf numFmtId="0" fontId="9" fillId="5" borderId="3" xfId="0" applyFont="1" applyFill="1" applyBorder="1" applyAlignment="1">
      <alignment vertical="center" wrapText="1"/>
    </xf>
    <xf numFmtId="0" fontId="10" fillId="0" borderId="0" xfId="0" applyFont="1"/>
    <xf numFmtId="0" fontId="1" fillId="0" borderId="5" xfId="0" applyFont="1" applyBorder="1" applyAlignment="1">
      <alignment vertical="center" wrapText="1"/>
    </xf>
    <xf numFmtId="0" fontId="10" fillId="0" borderId="6" xfId="0" applyFont="1" applyBorder="1" applyAlignment="1">
      <alignment vertical="center" wrapText="1"/>
    </xf>
    <xf numFmtId="0" fontId="11" fillId="5" borderId="7" xfId="0" applyFont="1" applyFill="1" applyBorder="1" applyAlignment="1">
      <alignment horizontal="center" vertical="center" wrapText="1"/>
    </xf>
    <xf numFmtId="0" fontId="11" fillId="5" borderId="8" xfId="0" applyFont="1" applyFill="1" applyBorder="1" applyAlignment="1">
      <alignment horizontal="center" vertical="center" wrapText="1"/>
    </xf>
    <xf numFmtId="0" fontId="11" fillId="5" borderId="6" xfId="0" applyFont="1" applyFill="1" applyBorder="1" applyAlignment="1">
      <alignment horizontal="center" vertical="center" wrapText="1"/>
    </xf>
    <xf numFmtId="0" fontId="11" fillId="5" borderId="9" xfId="0" applyFont="1" applyFill="1" applyBorder="1" applyAlignment="1">
      <alignment horizontal="center" vertical="center"/>
    </xf>
    <xf numFmtId="0" fontId="10" fillId="0" borderId="3" xfId="0" applyFont="1" applyBorder="1" applyAlignment="1">
      <alignment vertical="center" wrapText="1"/>
    </xf>
    <xf numFmtId="0" fontId="10" fillId="0" borderId="4" xfId="0" applyFont="1" applyBorder="1" applyAlignment="1">
      <alignment vertical="center" wrapText="1"/>
    </xf>
    <xf numFmtId="0" fontId="10" fillId="0" borderId="10" xfId="0" applyFont="1" applyBorder="1" applyAlignment="1">
      <alignment horizontal="center" vertical="center" wrapText="1"/>
    </xf>
    <xf numFmtId="0" fontId="12" fillId="6" borderId="7" xfId="0" applyFont="1" applyFill="1" applyBorder="1" applyAlignment="1">
      <alignment horizontal="center" vertical="center" wrapText="1"/>
    </xf>
    <xf numFmtId="0" fontId="11" fillId="6" borderId="7" xfId="0" applyFont="1" applyFill="1" applyBorder="1" applyAlignment="1">
      <alignment horizontal="center" vertical="center" wrapText="1"/>
    </xf>
    <xf numFmtId="0" fontId="12" fillId="6" borderId="2" xfId="0" applyFont="1" applyFill="1" applyBorder="1" applyAlignment="1">
      <alignment horizontal="center" vertical="center" wrapText="1"/>
    </xf>
    <xf numFmtId="0" fontId="10" fillId="7" borderId="14" xfId="0" applyFont="1" applyFill="1" applyBorder="1" applyAlignment="1">
      <alignment horizontal="center" vertical="center" wrapText="1"/>
    </xf>
    <xf numFmtId="0" fontId="10" fillId="8" borderId="14" xfId="0" applyFont="1" applyFill="1" applyBorder="1" applyAlignment="1">
      <alignment horizontal="center" vertical="center" wrapText="1"/>
    </xf>
    <xf numFmtId="0" fontId="10" fillId="4" borderId="14"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10" fillId="10" borderId="14" xfId="0" applyFont="1" applyFill="1" applyBorder="1" applyAlignment="1">
      <alignment horizontal="center" vertical="center" wrapText="1"/>
    </xf>
    <xf numFmtId="0" fontId="12" fillId="6" borderId="3" xfId="0" applyFont="1" applyFill="1" applyBorder="1" applyAlignment="1">
      <alignment horizontal="center" vertical="center" wrapText="1"/>
    </xf>
    <xf numFmtId="0" fontId="11" fillId="6" borderId="3" xfId="0" applyFont="1" applyFill="1" applyBorder="1" applyAlignment="1">
      <alignment horizontal="center" vertical="center" wrapText="1"/>
    </xf>
    <xf numFmtId="0" fontId="12" fillId="9" borderId="3"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13" fillId="8" borderId="3" xfId="0" applyFont="1" applyFill="1" applyBorder="1" applyAlignment="1">
      <alignment horizontal="center" vertical="center" wrapText="1"/>
    </xf>
    <xf numFmtId="0" fontId="13" fillId="10"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10" fillId="7" borderId="3" xfId="0" applyFont="1" applyFill="1" applyBorder="1" applyAlignment="1">
      <alignment horizontal="center" vertical="center" wrapText="1"/>
    </xf>
    <xf numFmtId="0" fontId="8" fillId="3" borderId="0" xfId="0" applyFont="1" applyFill="1"/>
    <xf numFmtId="14" fontId="0" fillId="3" borderId="0" xfId="0" applyNumberFormat="1" applyFill="1" applyAlignment="1">
      <alignment horizontal="center" vertical="center"/>
    </xf>
    <xf numFmtId="0" fontId="0" fillId="3" borderId="0" xfId="0" applyFill="1" applyAlignment="1">
      <alignment horizontal="center"/>
    </xf>
    <xf numFmtId="0" fontId="0" fillId="3" borderId="0" xfId="0" applyFill="1" applyAlignment="1">
      <alignment horizontal="center" vertical="center"/>
    </xf>
    <xf numFmtId="0" fontId="15" fillId="11" borderId="17" xfId="0" applyFont="1" applyFill="1" applyBorder="1" applyAlignment="1">
      <alignment horizontal="center" vertical="center" wrapText="1" readingOrder="2"/>
    </xf>
    <xf numFmtId="0" fontId="15" fillId="10" borderId="17" xfId="0" applyFont="1" applyFill="1" applyBorder="1" applyAlignment="1">
      <alignment horizontal="center" vertical="center" wrapText="1" readingOrder="2"/>
    </xf>
    <xf numFmtId="0" fontId="15" fillId="8" borderId="17" xfId="0" applyFont="1" applyFill="1" applyBorder="1" applyAlignment="1">
      <alignment horizontal="center" vertical="center" wrapText="1" readingOrder="2"/>
    </xf>
    <xf numFmtId="0" fontId="15" fillId="4" borderId="17" xfId="0" applyFont="1" applyFill="1" applyBorder="1" applyAlignment="1">
      <alignment horizontal="center" vertical="center" wrapText="1" readingOrder="2"/>
    </xf>
    <xf numFmtId="0" fontId="15" fillId="9" borderId="17" xfId="0" applyFont="1" applyFill="1" applyBorder="1" applyAlignment="1">
      <alignment horizontal="center" vertical="center" wrapText="1" readingOrder="2"/>
    </xf>
    <xf numFmtId="0" fontId="0" fillId="3" borderId="16" xfId="0" applyFill="1" applyBorder="1" applyAlignment="1">
      <alignment horizontal="center" vertical="center" wrapText="1"/>
    </xf>
    <xf numFmtId="0" fontId="21" fillId="0" borderId="0" xfId="0" applyFont="1"/>
    <xf numFmtId="0" fontId="22" fillId="2" borderId="4" xfId="0" applyFont="1" applyFill="1" applyBorder="1" applyAlignment="1" applyProtection="1">
      <alignment horizontal="center" vertical="center" wrapText="1"/>
      <protection locked="0"/>
    </xf>
    <xf numFmtId="14" fontId="22" fillId="2" borderId="4" xfId="0" applyNumberFormat="1"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wrapText="1"/>
      <protection locked="0"/>
    </xf>
    <xf numFmtId="0" fontId="4" fillId="2" borderId="4" xfId="1" applyFont="1" applyFill="1" applyBorder="1" applyAlignment="1" applyProtection="1">
      <alignment horizontal="center" vertical="center" wrapText="1"/>
      <protection locked="0"/>
    </xf>
    <xf numFmtId="14" fontId="4" fillId="2" borderId="4" xfId="1" applyNumberFormat="1" applyFont="1" applyFill="1" applyBorder="1" applyAlignment="1" applyProtection="1">
      <alignment horizontal="center" vertical="center" wrapText="1"/>
      <protection locked="0"/>
    </xf>
    <xf numFmtId="0" fontId="4" fillId="2" borderId="15" xfId="1" applyFont="1" applyFill="1" applyBorder="1" applyAlignment="1" applyProtection="1">
      <alignment horizontal="center" vertical="center" wrapText="1"/>
      <protection locked="0"/>
    </xf>
    <xf numFmtId="0" fontId="8" fillId="0" borderId="4"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1" xfId="0" applyFont="1" applyBorder="1" applyAlignment="1" applyProtection="1">
      <alignment horizontal="center" vertical="center" wrapText="1"/>
      <protection locked="0"/>
    </xf>
    <xf numFmtId="15" fontId="8" fillId="0" borderId="4" xfId="0" applyNumberFormat="1" applyFont="1" applyBorder="1" applyAlignment="1" applyProtection="1">
      <alignment horizontal="center" vertical="center" wrapText="1"/>
      <protection locked="0"/>
    </xf>
    <xf numFmtId="0" fontId="8" fillId="0" borderId="4" xfId="0" applyFont="1" applyBorder="1" applyAlignment="1" applyProtection="1">
      <alignment horizontal="center" vertical="center"/>
      <protection locked="0"/>
    </xf>
    <xf numFmtId="0" fontId="8" fillId="0" borderId="15" xfId="0" applyFont="1" applyBorder="1" applyAlignment="1" applyProtection="1">
      <alignment horizontal="center" vertical="center" wrapText="1"/>
      <protection locked="0"/>
    </xf>
    <xf numFmtId="14" fontId="8" fillId="0" borderId="4" xfId="0" applyNumberFormat="1" applyFont="1" applyBorder="1" applyAlignment="1" applyProtection="1">
      <alignment horizontal="center" vertical="center" wrapText="1"/>
      <protection locked="0"/>
    </xf>
    <xf numFmtId="14" fontId="8" fillId="0" borderId="4" xfId="0" applyNumberFormat="1" applyFont="1" applyBorder="1" applyAlignment="1" applyProtection="1">
      <alignment horizontal="center" vertical="center"/>
      <protection locked="0"/>
    </xf>
    <xf numFmtId="0" fontId="8" fillId="0" borderId="18" xfId="0" applyFont="1" applyBorder="1" applyAlignment="1" applyProtection="1">
      <alignment horizontal="center" vertical="center" wrapText="1"/>
      <protection locked="0"/>
    </xf>
    <xf numFmtId="0" fontId="17" fillId="0" borderId="19" xfId="0" applyFont="1" applyBorder="1" applyAlignment="1" applyProtection="1">
      <alignment horizontal="center" vertical="center" wrapText="1"/>
      <protection locked="0"/>
    </xf>
    <xf numFmtId="0" fontId="8" fillId="0" borderId="18" xfId="0" applyFont="1" applyBorder="1" applyAlignment="1" applyProtection="1">
      <alignment horizontal="center" vertical="center"/>
      <protection locked="0"/>
    </xf>
    <xf numFmtId="14" fontId="18" fillId="0" borderId="18" xfId="0" applyNumberFormat="1" applyFont="1" applyBorder="1" applyAlignment="1" applyProtection="1">
      <alignment horizontal="center" vertical="center"/>
      <protection locked="0"/>
    </xf>
    <xf numFmtId="0" fontId="17" fillId="0" borderId="18" xfId="0" applyFont="1" applyBorder="1" applyAlignment="1" applyProtection="1">
      <alignment horizontal="center" vertical="center" wrapText="1"/>
      <protection locked="0"/>
    </xf>
    <xf numFmtId="0" fontId="17" fillId="0" borderId="0" xfId="0" applyFont="1" applyAlignment="1" applyProtection="1">
      <alignment horizontal="center" vertical="center"/>
      <protection locked="0"/>
    </xf>
    <xf numFmtId="0" fontId="8" fillId="3" borderId="18" xfId="0" applyFont="1" applyFill="1" applyBorder="1" applyAlignment="1" applyProtection="1">
      <alignment horizontal="center" vertical="center" wrapText="1"/>
      <protection locked="0"/>
    </xf>
    <xf numFmtId="0" fontId="17" fillId="3" borderId="18" xfId="0" applyFont="1" applyFill="1" applyBorder="1" applyAlignment="1" applyProtection="1">
      <alignment horizontal="center" vertical="center" wrapText="1"/>
      <protection locked="0"/>
    </xf>
    <xf numFmtId="0" fontId="17" fillId="0" borderId="5"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18" fillId="3" borderId="18" xfId="0" applyFont="1" applyFill="1" applyBorder="1" applyAlignment="1" applyProtection="1">
      <alignment horizontal="center" vertical="center" wrapText="1"/>
      <protection locked="0"/>
    </xf>
    <xf numFmtId="0" fontId="8" fillId="0" borderId="20" xfId="0" applyFont="1" applyBorder="1" applyAlignment="1" applyProtection="1">
      <alignment horizontal="center" vertical="center" wrapText="1"/>
      <protection locked="0"/>
    </xf>
    <xf numFmtId="0" fontId="8" fillId="0" borderId="21" xfId="0" applyFont="1" applyBorder="1" applyAlignment="1" applyProtection="1">
      <alignment horizontal="center" vertical="center" wrapText="1"/>
      <protection locked="0"/>
    </xf>
    <xf numFmtId="0" fontId="8" fillId="2" borderId="18" xfId="0" applyFont="1" applyFill="1" applyBorder="1" applyAlignment="1" applyProtection="1">
      <alignment horizontal="center" vertical="center" wrapText="1"/>
      <protection locked="0"/>
    </xf>
    <xf numFmtId="0" fontId="18" fillId="2" borderId="18" xfId="0" applyFont="1" applyFill="1" applyBorder="1" applyAlignment="1" applyProtection="1">
      <alignment horizontal="center" vertical="center" wrapText="1"/>
      <protection locked="0"/>
    </xf>
    <xf numFmtId="0" fontId="8" fillId="3" borderId="18" xfId="0" applyFont="1" applyFill="1" applyBorder="1" applyAlignment="1" applyProtection="1">
      <alignment horizontal="center" vertical="center"/>
      <protection locked="0"/>
    </xf>
    <xf numFmtId="0" fontId="8" fillId="3" borderId="14" xfId="0" applyFont="1" applyFill="1" applyBorder="1" applyAlignment="1" applyProtection="1">
      <alignment horizontal="center" vertical="center" wrapText="1"/>
      <protection locked="0"/>
    </xf>
    <xf numFmtId="0" fontId="17" fillId="0" borderId="6" xfId="0" applyFont="1" applyBorder="1" applyAlignment="1" applyProtection="1">
      <alignment horizontal="center" vertical="center" wrapText="1"/>
      <protection locked="0"/>
    </xf>
    <xf numFmtId="0" fontId="19" fillId="0" borderId="6" xfId="3" applyFont="1" applyBorder="1" applyAlignment="1" applyProtection="1">
      <alignment horizontal="center" vertical="center" wrapText="1"/>
      <protection locked="0"/>
    </xf>
    <xf numFmtId="0" fontId="8" fillId="3" borderId="4" xfId="0" applyFont="1" applyFill="1" applyBorder="1" applyAlignment="1" applyProtection="1">
      <alignment horizontal="center" vertical="center"/>
      <protection locked="0"/>
    </xf>
    <xf numFmtId="0" fontId="17" fillId="0" borderId="24" xfId="0" applyFont="1" applyBorder="1" applyAlignment="1" applyProtection="1">
      <alignment horizontal="center" vertical="center" wrapText="1"/>
      <protection locked="0"/>
    </xf>
    <xf numFmtId="0" fontId="17" fillId="0" borderId="23" xfId="0" applyFont="1" applyBorder="1" applyAlignment="1" applyProtection="1">
      <alignment horizontal="center" vertical="center" wrapText="1"/>
      <protection locked="0"/>
    </xf>
    <xf numFmtId="0" fontId="8" fillId="3" borderId="15" xfId="0" applyFont="1" applyFill="1" applyBorder="1" applyAlignment="1" applyProtection="1">
      <alignment horizontal="center" vertical="center" wrapText="1"/>
      <protection locked="0"/>
    </xf>
    <xf numFmtId="0" fontId="17" fillId="0" borderId="13" xfId="0"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0" fontId="17" fillId="0" borderId="27" xfId="0" applyFont="1" applyBorder="1" applyAlignment="1" applyProtection="1">
      <alignment horizontal="center" vertical="center" wrapText="1"/>
      <protection locked="0"/>
    </xf>
    <xf numFmtId="0" fontId="17" fillId="0" borderId="28" xfId="0" applyFont="1" applyBorder="1" applyAlignment="1" applyProtection="1">
      <alignment horizontal="center" vertical="center" wrapText="1"/>
      <protection locked="0"/>
    </xf>
    <xf numFmtId="0" fontId="17" fillId="0" borderId="4" xfId="0" applyFont="1" applyBorder="1" applyAlignment="1" applyProtection="1">
      <alignment horizontal="center" vertical="center" wrapText="1"/>
      <protection locked="0"/>
    </xf>
    <xf numFmtId="0" fontId="17" fillId="0" borderId="3" xfId="0" applyFont="1" applyBorder="1" applyAlignment="1" applyProtection="1">
      <alignment horizontal="center" vertical="center" wrapText="1"/>
      <protection locked="0"/>
    </xf>
    <xf numFmtId="0" fontId="17" fillId="0" borderId="29" xfId="0" applyFont="1" applyBorder="1" applyAlignment="1" applyProtection="1">
      <alignment horizontal="center" vertical="center" wrapText="1"/>
      <protection locked="0"/>
    </xf>
    <xf numFmtId="0" fontId="17" fillId="0" borderId="1" xfId="0" applyFont="1" applyBorder="1" applyAlignment="1" applyProtection="1">
      <alignment horizontal="center" vertical="center" wrapText="1"/>
      <protection locked="0"/>
    </xf>
    <xf numFmtId="0" fontId="17" fillId="0" borderId="11" xfId="0" applyFont="1" applyBorder="1" applyAlignment="1" applyProtection="1">
      <alignment horizontal="center" vertical="center" wrapText="1"/>
      <protection locked="0"/>
    </xf>
    <xf numFmtId="0" fontId="17" fillId="0" borderId="30" xfId="0" applyFont="1" applyBorder="1" applyAlignment="1" applyProtection="1">
      <alignment horizontal="center" vertical="center" wrapText="1"/>
      <protection locked="0"/>
    </xf>
    <xf numFmtId="0" fontId="18" fillId="0" borderId="6" xfId="0" applyFont="1" applyBorder="1" applyAlignment="1" applyProtection="1">
      <alignment horizontal="center" vertical="center" wrapText="1"/>
      <protection locked="0"/>
    </xf>
    <xf numFmtId="0" fontId="17" fillId="0" borderId="9" xfId="0" applyFont="1" applyBorder="1" applyAlignment="1" applyProtection="1">
      <alignment horizontal="center" vertical="center" wrapText="1"/>
      <protection locked="0"/>
    </xf>
    <xf numFmtId="0" fontId="17" fillId="0" borderId="31" xfId="0" applyFont="1" applyBorder="1" applyAlignment="1" applyProtection="1">
      <alignment horizontal="center" vertical="center" wrapText="1"/>
      <protection locked="0"/>
    </xf>
    <xf numFmtId="0" fontId="17" fillId="12" borderId="31" xfId="0" applyFont="1" applyFill="1" applyBorder="1" applyAlignment="1" applyProtection="1">
      <alignment horizontal="center" vertical="center" wrapText="1"/>
      <protection locked="0"/>
    </xf>
    <xf numFmtId="0" fontId="17" fillId="12" borderId="6" xfId="0" applyFont="1" applyFill="1" applyBorder="1" applyAlignment="1" applyProtection="1">
      <alignment horizontal="center" vertical="center"/>
      <protection locked="0"/>
    </xf>
    <xf numFmtId="0" fontId="8" fillId="0" borderId="18" xfId="0" applyFont="1" applyBorder="1" applyAlignment="1" applyProtection="1">
      <alignment horizontal="left" vertical="center" wrapText="1"/>
      <protection locked="0"/>
    </xf>
    <xf numFmtId="0" fontId="23" fillId="0" borderId="18" xfId="0" applyFont="1" applyBorder="1" applyAlignment="1" applyProtection="1">
      <alignment horizontal="center" vertical="center" wrapText="1"/>
      <protection locked="0"/>
    </xf>
    <xf numFmtId="0" fontId="17" fillId="0" borderId="0" xfId="0" applyFont="1" applyAlignment="1" applyProtection="1">
      <alignment horizontal="left" vertical="center" wrapText="1"/>
      <protection locked="0"/>
    </xf>
    <xf numFmtId="0" fontId="8" fillId="0" borderId="18" xfId="0" quotePrefix="1" applyFont="1" applyBorder="1" applyAlignment="1" applyProtection="1">
      <alignment horizontal="left" vertical="center" wrapText="1"/>
      <protection locked="0"/>
    </xf>
    <xf numFmtId="0" fontId="18" fillId="0" borderId="18" xfId="0" applyFont="1" applyBorder="1" applyAlignment="1" applyProtection="1">
      <alignment horizontal="left" vertical="center" wrapText="1"/>
      <protection locked="0"/>
    </xf>
    <xf numFmtId="0" fontId="17" fillId="0" borderId="0" xfId="0" applyFont="1" applyAlignment="1" applyProtection="1">
      <alignment horizontal="justify" vertical="center" readingOrder="1"/>
      <protection locked="0"/>
    </xf>
    <xf numFmtId="0" fontId="8" fillId="0" borderId="4" xfId="0" applyFont="1" applyBorder="1" applyAlignment="1">
      <alignment horizontal="center" vertical="center" wrapText="1"/>
    </xf>
    <xf numFmtId="0" fontId="8" fillId="4" borderId="4" xfId="0" applyFont="1" applyFill="1" applyBorder="1" applyAlignment="1">
      <alignment horizontal="center" vertical="center" wrapText="1"/>
    </xf>
    <xf numFmtId="0" fontId="8" fillId="4" borderId="18" xfId="0" applyFont="1" applyFill="1" applyBorder="1" applyAlignment="1">
      <alignment horizontal="center" vertical="center" wrapText="1"/>
    </xf>
    <xf numFmtId="0" fontId="8" fillId="0" borderId="18"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4" fillId="2" borderId="1" xfId="1"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7" fillId="0" borderId="13"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6" xfId="0" applyFont="1" applyBorder="1" applyAlignment="1">
      <alignment horizontal="center" vertical="center" wrapText="1"/>
    </xf>
    <xf numFmtId="0" fontId="8" fillId="3" borderId="4" xfId="0" applyFont="1" applyFill="1" applyBorder="1" applyAlignment="1">
      <alignment horizontal="center" vertical="center"/>
    </xf>
    <xf numFmtId="0" fontId="17" fillId="0" borderId="25" xfId="0" applyFont="1" applyBorder="1" applyAlignment="1">
      <alignment horizontal="center" vertical="center" wrapText="1"/>
    </xf>
    <xf numFmtId="0" fontId="16" fillId="0" borderId="4" xfId="0" applyFont="1" applyBorder="1" applyAlignment="1">
      <alignment horizontal="center" vertical="center" wrapText="1"/>
    </xf>
    <xf numFmtId="0" fontId="16" fillId="0" borderId="18"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0" xfId="0" applyFont="1" applyAlignment="1">
      <alignment horizontal="center" vertical="center" wrapText="1"/>
    </xf>
    <xf numFmtId="0" fontId="20" fillId="0" borderId="18" xfId="0" applyFont="1" applyBorder="1" applyAlignment="1">
      <alignment horizontal="center" vertical="center" wrapText="1"/>
    </xf>
    <xf numFmtId="0" fontId="20" fillId="0" borderId="23" xfId="0" applyFont="1" applyBorder="1" applyAlignment="1">
      <alignment horizontal="center" vertical="center" wrapText="1"/>
    </xf>
    <xf numFmtId="14" fontId="8" fillId="0" borderId="18" xfId="0" applyNumberFormat="1" applyFont="1" applyBorder="1" applyAlignment="1" applyProtection="1">
      <alignment horizontal="center" vertical="center" wrapText="1"/>
      <protection locked="0"/>
    </xf>
    <xf numFmtId="14" fontId="17" fillId="0" borderId="6" xfId="0" applyNumberFormat="1" applyFont="1" applyBorder="1" applyAlignment="1" applyProtection="1">
      <alignment horizontal="center" vertical="center" wrapText="1"/>
      <protection locked="0"/>
    </xf>
    <xf numFmtId="14" fontId="17" fillId="0" borderId="19" xfId="0" applyNumberFormat="1" applyFont="1" applyBorder="1" applyAlignment="1" applyProtection="1">
      <alignment horizontal="center" vertical="center" wrapText="1"/>
      <protection locked="0"/>
    </xf>
    <xf numFmtId="0" fontId="4" fillId="2" borderId="1" xfId="1" applyFont="1" applyFill="1" applyBorder="1" applyAlignment="1" applyProtection="1">
      <alignment horizontal="centerContinuous" vertical="center" wrapText="1"/>
      <protection locked="0"/>
    </xf>
    <xf numFmtId="0" fontId="4" fillId="2" borderId="3" xfId="1" applyFont="1" applyFill="1" applyBorder="1" applyAlignment="1" applyProtection="1">
      <alignment horizontal="centerContinuous" vertical="center" wrapText="1"/>
      <protection locked="0"/>
    </xf>
    <xf numFmtId="0" fontId="4" fillId="2" borderId="12" xfId="1" applyFont="1" applyFill="1" applyBorder="1" applyAlignment="1" applyProtection="1">
      <alignment horizontal="centerContinuous" vertical="center" wrapText="1"/>
      <protection locked="0"/>
    </xf>
    <xf numFmtId="0" fontId="4" fillId="2" borderId="2" xfId="1" applyFont="1" applyFill="1" applyBorder="1" applyAlignment="1" applyProtection="1">
      <alignment horizontal="centerContinuous" vertical="center" wrapText="1"/>
      <protection locked="0"/>
    </xf>
    <xf numFmtId="0" fontId="22" fillId="2" borderId="3" xfId="0" applyFont="1" applyFill="1" applyBorder="1" applyAlignment="1" applyProtection="1">
      <alignment horizontal="centerContinuous" vertical="center" wrapText="1"/>
      <protection locked="0"/>
    </xf>
    <xf numFmtId="0" fontId="22" fillId="2" borderId="1" xfId="0" applyFont="1" applyFill="1" applyBorder="1" applyAlignment="1" applyProtection="1">
      <alignment horizontal="centerContinuous" vertical="center" wrapText="1"/>
      <protection locked="0"/>
    </xf>
    <xf numFmtId="0" fontId="8" fillId="0" borderId="4" xfId="0" applyFont="1" applyBorder="1" applyAlignment="1" applyProtection="1">
      <alignment horizontal="left" vertical="center" wrapText="1"/>
      <protection locked="0"/>
    </xf>
    <xf numFmtId="0" fontId="24" fillId="0" borderId="32" xfId="0" applyFont="1" applyBorder="1" applyAlignment="1" applyProtection="1">
      <alignment readingOrder="1"/>
      <protection locked="0"/>
    </xf>
    <xf numFmtId="15" fontId="8" fillId="0" borderId="1" xfId="0" applyNumberFormat="1" applyFont="1" applyBorder="1" applyAlignment="1" applyProtection="1">
      <alignment horizontal="center" vertical="center" wrapText="1"/>
      <protection locked="0"/>
    </xf>
    <xf numFmtId="0" fontId="8" fillId="0" borderId="13" xfId="0" applyFont="1" applyBorder="1" applyAlignment="1" applyProtection="1">
      <alignment horizontal="center" vertical="center" wrapText="1"/>
      <protection locked="0"/>
    </xf>
    <xf numFmtId="0" fontId="8" fillId="0" borderId="33" xfId="0" applyFont="1" applyBorder="1" applyAlignment="1" applyProtection="1">
      <alignment horizontal="center" vertical="center" wrapText="1"/>
      <protection locked="0"/>
    </xf>
    <xf numFmtId="0" fontId="24" fillId="0" borderId="32" xfId="0" applyFont="1" applyBorder="1" applyAlignment="1" applyProtection="1">
      <alignment horizontal="left" vertical="center" wrapText="1" readingOrder="1"/>
      <protection locked="0"/>
    </xf>
    <xf numFmtId="0" fontId="8" fillId="0" borderId="3" xfId="0" applyFont="1" applyBorder="1" applyAlignment="1" applyProtection="1">
      <alignment horizontal="center" vertical="center" wrapText="1"/>
      <protection locked="0"/>
    </xf>
    <xf numFmtId="0" fontId="8" fillId="0" borderId="5" xfId="0" applyFont="1" applyBorder="1" applyAlignment="1" applyProtection="1">
      <alignment horizontal="center" vertical="center" wrapText="1"/>
      <protection locked="0"/>
    </xf>
    <xf numFmtId="0" fontId="22" fillId="2" borderId="1" xfId="0" applyFont="1" applyFill="1" applyBorder="1" applyAlignment="1" applyProtection="1">
      <alignment horizontal="centerContinuous" vertical="center"/>
      <protection locked="0"/>
    </xf>
    <xf numFmtId="0" fontId="22" fillId="2" borderId="3" xfId="0" applyFont="1" applyFill="1" applyBorder="1" applyAlignment="1" applyProtection="1">
      <alignment horizontal="centerContinuous" vertical="center"/>
      <protection locked="0"/>
    </xf>
    <xf numFmtId="0" fontId="22" fillId="2" borderId="12" xfId="0" applyFont="1" applyFill="1" applyBorder="1" applyAlignment="1" applyProtection="1">
      <alignment horizontal="centerContinuous" vertical="center"/>
      <protection locked="0"/>
    </xf>
    <xf numFmtId="0" fontId="22" fillId="2" borderId="2" xfId="0" applyFont="1" applyFill="1" applyBorder="1" applyAlignment="1" applyProtection="1">
      <alignment horizontal="centerContinuous" vertical="center"/>
      <protection locked="0"/>
    </xf>
    <xf numFmtId="0" fontId="8" fillId="0" borderId="15" xfId="0" applyFont="1" applyBorder="1" applyAlignment="1" applyProtection="1">
      <alignment horizontal="left" vertical="center" wrapText="1"/>
      <protection locked="0"/>
    </xf>
    <xf numFmtId="0" fontId="25" fillId="0" borderId="22" xfId="0" applyFont="1" applyBorder="1" applyAlignment="1" applyProtection="1">
      <alignment horizontal="center" vertical="center" wrapText="1"/>
      <protection locked="0"/>
    </xf>
    <xf numFmtId="0" fontId="25" fillId="0" borderId="23" xfId="0" applyFont="1" applyBorder="1" applyAlignment="1" applyProtection="1">
      <alignment horizontal="center" vertical="center" wrapText="1"/>
      <protection locked="0"/>
    </xf>
    <xf numFmtId="164" fontId="22" fillId="2" borderId="4" xfId="0" applyNumberFormat="1" applyFont="1" applyFill="1" applyBorder="1" applyAlignment="1" applyProtection="1">
      <alignment horizontal="center" vertical="center" wrapText="1"/>
      <protection locked="0"/>
    </xf>
    <xf numFmtId="164" fontId="8" fillId="0" borderId="4" xfId="0" applyNumberFormat="1" applyFont="1" applyBorder="1" applyAlignment="1" applyProtection="1">
      <alignment horizontal="center" vertical="center" wrapText="1"/>
      <protection locked="0"/>
    </xf>
    <xf numFmtId="164" fontId="0" fillId="3" borderId="0" xfId="0" applyNumberFormat="1" applyFill="1" applyAlignment="1">
      <alignment horizontal="center" vertical="center"/>
    </xf>
    <xf numFmtId="0" fontId="27" fillId="0" borderId="0" xfId="0" applyFont="1" applyAlignment="1" applyProtection="1">
      <alignment horizontal="center" vertical="center" wrapText="1"/>
      <protection locked="0"/>
    </xf>
    <xf numFmtId="0" fontId="8" fillId="3" borderId="0" xfId="0" applyFont="1" applyFill="1" applyAlignment="1">
      <alignment horizontal="center" vertical="center" wrapText="1"/>
    </xf>
    <xf numFmtId="0" fontId="27" fillId="0" borderId="18" xfId="0" applyFont="1"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34" xfId="0" applyBorder="1" applyAlignment="1" applyProtection="1">
      <alignment horizontal="center" vertical="center" wrapText="1"/>
      <protection locked="0"/>
    </xf>
    <xf numFmtId="0" fontId="17" fillId="0" borderId="7" xfId="0" applyFont="1" applyBorder="1" applyAlignment="1" applyProtection="1">
      <alignment horizontal="center" vertical="center" wrapText="1"/>
      <protection locked="0"/>
    </xf>
    <xf numFmtId="0" fontId="17" fillId="0" borderId="0" xfId="0" applyFont="1" applyAlignment="1" applyProtection="1">
      <alignment horizontal="center" vertical="center" wrapText="1" readingOrder="1"/>
      <protection locked="0"/>
    </xf>
    <xf numFmtId="15" fontId="25" fillId="0" borderId="4" xfId="0" applyNumberFormat="1" applyFont="1" applyBorder="1" applyAlignment="1" applyProtection="1">
      <alignment horizontal="center" vertical="center" wrapText="1"/>
      <protection locked="0"/>
    </xf>
    <xf numFmtId="0" fontId="8" fillId="13" borderId="4" xfId="0" applyFont="1" applyFill="1" applyBorder="1" applyAlignment="1" applyProtection="1">
      <alignment horizontal="center" vertical="center"/>
      <protection locked="0"/>
    </xf>
    <xf numFmtId="0" fontId="8" fillId="13" borderId="4" xfId="0" applyFont="1" applyFill="1" applyBorder="1" applyAlignment="1" applyProtection="1">
      <alignment horizontal="center" vertical="center" wrapText="1"/>
      <protection locked="0"/>
    </xf>
    <xf numFmtId="0" fontId="28" fillId="0" borderId="15" xfId="0" applyFont="1" applyBorder="1" applyAlignment="1" applyProtection="1">
      <alignment horizontal="center" vertical="center" wrapText="1"/>
      <protection locked="0"/>
    </xf>
    <xf numFmtId="0" fontId="28" fillId="0" borderId="33" xfId="0" applyFont="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2" fillId="2" borderId="3" xfId="0" applyFont="1" applyFill="1" applyBorder="1" applyAlignment="1" applyProtection="1">
      <alignment horizontal="center" vertical="center" wrapText="1"/>
      <protection locked="0"/>
    </xf>
    <xf numFmtId="0" fontId="4" fillId="2" borderId="1" xfId="1" applyFont="1" applyFill="1" applyBorder="1" applyAlignment="1" applyProtection="1">
      <alignment horizontal="center" vertical="center" wrapText="1"/>
      <protection locked="0"/>
    </xf>
    <xf numFmtId="0" fontId="4" fillId="2" borderId="3" xfId="1" applyFont="1" applyFill="1" applyBorder="1" applyAlignment="1" applyProtection="1">
      <alignment horizontal="center" vertical="center" wrapText="1"/>
      <protection locked="0"/>
    </xf>
    <xf numFmtId="0" fontId="10" fillId="5" borderId="13" xfId="0" applyFont="1" applyFill="1" applyBorder="1" applyAlignment="1">
      <alignment vertical="center" wrapText="1"/>
    </xf>
    <xf numFmtId="0" fontId="10" fillId="5" borderId="5" xfId="0" applyFont="1" applyFill="1" applyBorder="1" applyAlignment="1">
      <alignment vertical="center" wrapText="1"/>
    </xf>
  </cellXfs>
  <cellStyles count="4">
    <cellStyle name="Hyperlink" xfId="3" builtinId="8"/>
    <cellStyle name="Normal" xfId="0" builtinId="0"/>
    <cellStyle name="Normal 2" xfId="2" xr:uid="{00000000-0005-0000-0000-000002000000}"/>
    <cellStyle name="Normal 5" xfId="1" xr:uid="{00000000-0005-0000-0000-000001000000}"/>
  </cellStyles>
  <dxfs count="128">
    <dxf>
      <fill>
        <patternFill>
          <bgColor theme="5"/>
        </patternFill>
      </fill>
    </dxf>
    <dxf>
      <fill>
        <patternFill>
          <bgColor rgb="FFFFFF00"/>
        </patternFill>
      </fill>
    </dxf>
    <dxf>
      <fill>
        <patternFill>
          <bgColor theme="9"/>
        </patternFill>
      </fill>
    </dxf>
    <dxf>
      <fill>
        <patternFill>
          <bgColor theme="9" tint="0.39994506668294322"/>
        </patternFill>
      </fill>
    </dxf>
    <dxf>
      <fill>
        <patternFill>
          <bgColor rgb="FFC00000"/>
        </patternFill>
      </fill>
    </dxf>
    <dxf>
      <fill>
        <patternFill>
          <bgColor rgb="FFFF0000"/>
        </patternFill>
      </fill>
    </dxf>
    <dxf>
      <fill>
        <patternFill>
          <bgColor theme="5"/>
        </patternFill>
      </fill>
    </dxf>
    <dxf>
      <fill>
        <patternFill>
          <bgColor rgb="FFFFFF00"/>
        </patternFill>
      </fill>
    </dxf>
    <dxf>
      <fill>
        <patternFill>
          <bgColor theme="9"/>
        </patternFill>
      </fill>
    </dxf>
    <dxf>
      <fill>
        <patternFill>
          <bgColor rgb="FFFF0000"/>
        </patternFill>
      </fill>
    </dxf>
    <dxf>
      <fill>
        <patternFill>
          <bgColor theme="5"/>
        </patternFill>
      </fill>
    </dxf>
    <dxf>
      <fill>
        <patternFill>
          <bgColor rgb="FFFFFF00"/>
        </patternFill>
      </fill>
    </dxf>
    <dxf>
      <fill>
        <patternFill>
          <bgColor theme="9"/>
        </patternFill>
      </fill>
    </dxf>
    <dxf>
      <fill>
        <patternFill>
          <bgColor theme="5"/>
        </patternFill>
      </fill>
    </dxf>
    <dxf>
      <fill>
        <patternFill>
          <bgColor rgb="FFFFFF00"/>
        </patternFill>
      </fill>
    </dxf>
    <dxf>
      <fill>
        <patternFill>
          <bgColor theme="9"/>
        </patternFill>
      </fill>
    </dxf>
    <dxf>
      <fill>
        <patternFill>
          <bgColor theme="9" tint="0.39994506668294322"/>
        </patternFill>
      </fill>
    </dxf>
    <dxf>
      <fill>
        <patternFill>
          <bgColor rgb="FFC00000"/>
        </patternFill>
      </fill>
    </dxf>
    <dxf>
      <fill>
        <patternFill>
          <bgColor rgb="FFFF0000"/>
        </patternFill>
      </fill>
    </dxf>
    <dxf>
      <fill>
        <patternFill>
          <bgColor theme="5"/>
        </patternFill>
      </fill>
    </dxf>
    <dxf>
      <fill>
        <patternFill>
          <bgColor rgb="FFFFFF00"/>
        </patternFill>
      </fill>
    </dxf>
    <dxf>
      <fill>
        <patternFill>
          <bgColor theme="9"/>
        </patternFill>
      </fill>
    </dxf>
    <dxf>
      <fill>
        <patternFill>
          <bgColor theme="5"/>
        </patternFill>
      </fill>
    </dxf>
    <dxf>
      <fill>
        <patternFill>
          <bgColor rgb="FFFFFF00"/>
        </patternFill>
      </fill>
    </dxf>
    <dxf>
      <fill>
        <patternFill>
          <bgColor theme="9"/>
        </patternFill>
      </fill>
    </dxf>
    <dxf>
      <fill>
        <patternFill>
          <bgColor theme="9" tint="0.39994506668294322"/>
        </patternFill>
      </fill>
    </dxf>
    <dxf>
      <fill>
        <patternFill>
          <bgColor rgb="FFC00000"/>
        </patternFill>
      </fill>
    </dxf>
    <dxf>
      <fill>
        <patternFill>
          <bgColor rgb="FFFF0000"/>
        </patternFill>
      </fill>
    </dxf>
    <dxf>
      <fill>
        <patternFill>
          <bgColor theme="5"/>
        </patternFill>
      </fill>
    </dxf>
    <dxf>
      <fill>
        <patternFill>
          <bgColor rgb="FFFFFF00"/>
        </patternFill>
      </fill>
    </dxf>
    <dxf>
      <fill>
        <patternFill>
          <bgColor theme="9"/>
        </patternFill>
      </fill>
    </dxf>
    <dxf>
      <fill>
        <patternFill>
          <bgColor theme="5"/>
        </patternFill>
      </fill>
    </dxf>
    <dxf>
      <fill>
        <patternFill>
          <bgColor rgb="FFFFFF00"/>
        </patternFill>
      </fill>
    </dxf>
    <dxf>
      <fill>
        <patternFill>
          <bgColor theme="9"/>
        </patternFill>
      </fill>
    </dxf>
    <dxf>
      <fill>
        <patternFill>
          <bgColor theme="9" tint="0.39994506668294322"/>
        </patternFill>
      </fill>
    </dxf>
    <dxf>
      <fill>
        <patternFill>
          <bgColor rgb="FFC00000"/>
        </patternFill>
      </fill>
    </dxf>
    <dxf>
      <fill>
        <patternFill>
          <bgColor rgb="FFFF0000"/>
        </patternFill>
      </fill>
    </dxf>
    <dxf>
      <fill>
        <patternFill>
          <bgColor theme="5"/>
        </patternFill>
      </fill>
    </dxf>
    <dxf>
      <fill>
        <patternFill>
          <bgColor rgb="FFFFFF00"/>
        </patternFill>
      </fill>
    </dxf>
    <dxf>
      <fill>
        <patternFill>
          <bgColor theme="9"/>
        </patternFill>
      </fill>
    </dxf>
    <dxf>
      <fill>
        <patternFill>
          <bgColor theme="5"/>
        </patternFill>
      </fill>
    </dxf>
    <dxf>
      <fill>
        <patternFill>
          <bgColor rgb="FFFFFF00"/>
        </patternFill>
      </fill>
    </dxf>
    <dxf>
      <fill>
        <patternFill>
          <bgColor theme="9"/>
        </patternFill>
      </fill>
    </dxf>
    <dxf>
      <fill>
        <patternFill>
          <bgColor theme="9" tint="0.39994506668294322"/>
        </patternFill>
      </fill>
    </dxf>
    <dxf>
      <fill>
        <patternFill>
          <bgColor rgb="FFC00000"/>
        </patternFill>
      </fill>
    </dxf>
    <dxf>
      <fill>
        <patternFill>
          <bgColor rgb="FFFF0000"/>
        </patternFill>
      </fill>
    </dxf>
    <dxf>
      <fill>
        <patternFill>
          <bgColor theme="5"/>
        </patternFill>
      </fill>
    </dxf>
    <dxf>
      <fill>
        <patternFill>
          <bgColor rgb="FFFFFF00"/>
        </patternFill>
      </fill>
    </dxf>
    <dxf>
      <fill>
        <patternFill>
          <bgColor theme="9"/>
        </patternFill>
      </fill>
    </dxf>
    <dxf>
      <font>
        <color rgb="FF9C0006"/>
      </font>
      <fill>
        <patternFill>
          <bgColor rgb="FFFFC7CE"/>
        </patternFill>
      </fill>
    </dxf>
    <dxf>
      <fill>
        <patternFill>
          <bgColor rgb="FFC00000"/>
        </patternFill>
      </fill>
    </dxf>
    <dxf>
      <fill>
        <patternFill>
          <bgColor rgb="FFFF0000"/>
        </patternFill>
      </fill>
    </dxf>
    <dxf>
      <fill>
        <patternFill>
          <bgColor rgb="FFFF0000"/>
        </patternFill>
      </fill>
    </dxf>
    <dxf>
      <fill>
        <patternFill>
          <bgColor theme="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C00000"/>
        </patternFill>
      </fill>
    </dxf>
    <dxf>
      <font>
        <color rgb="FF9C0006"/>
      </font>
      <fill>
        <patternFill>
          <bgColor rgb="FFFFC7CE"/>
        </patternFill>
      </fill>
    </dxf>
    <dxf>
      <font>
        <color rgb="FF9C0006"/>
      </font>
      <fill>
        <patternFill>
          <bgColor rgb="FFFFC7CE"/>
        </patternFill>
      </fill>
    </dxf>
    <dxf>
      <fill>
        <patternFill>
          <bgColor rgb="FFC00000"/>
        </patternFill>
      </fill>
    </dxf>
    <dxf>
      <fill>
        <patternFill>
          <bgColor rgb="FFFF0000"/>
        </patternFill>
      </fill>
    </dxf>
    <dxf>
      <fill>
        <patternFill>
          <bgColor rgb="FFFF0000"/>
        </patternFill>
      </fill>
    </dxf>
    <dxf>
      <fill>
        <patternFill>
          <bgColor theme="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theme="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theme="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FF0000"/>
        </patternFill>
      </fill>
    </dxf>
    <dxf>
      <fill>
        <patternFill>
          <bgColor rgb="FFFF0000"/>
        </patternFill>
      </fill>
    </dxf>
    <dxf>
      <fill>
        <patternFill>
          <bgColor theme="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C00000"/>
        </patternFill>
      </fill>
    </dxf>
    <dxf>
      <font>
        <b/>
        <i val="0"/>
        <strike val="0"/>
        <condense val="0"/>
        <extend val="0"/>
        <outline val="0"/>
        <shadow val="0"/>
        <u val="none"/>
        <vertAlign val="baseline"/>
        <sz val="11"/>
        <color theme="1"/>
        <name val="Arial"/>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4</xdr:row>
      <xdr:rowOff>66675</xdr:rowOff>
    </xdr:from>
    <xdr:to>
      <xdr:col>17</xdr:col>
      <xdr:colOff>1571625</xdr:colOff>
      <xdr:row>39</xdr:row>
      <xdr:rowOff>38100</xdr:rowOff>
    </xdr:to>
    <xdr:pic>
      <xdr:nvPicPr>
        <xdr:cNvPr id="4" name="Picture 3">
          <a:extLst>
            <a:ext uri="{FF2B5EF4-FFF2-40B4-BE49-F238E27FC236}">
              <a16:creationId xmlns:a16="http://schemas.microsoft.com/office/drawing/2014/main" id="{7268E12F-B0AC-408F-8D62-B181049C87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8225" y="790575"/>
          <a:ext cx="13706475" cy="7048500"/>
        </a:xfrm>
        <a:prstGeom prst="rect">
          <a:avLst/>
        </a:prstGeom>
      </xdr:spPr>
    </xdr:pic>
    <xdr:clientData/>
  </xdr:twoCellAnchor>
  <xdr:twoCellAnchor editAs="oneCell">
    <xdr:from>
      <xdr:col>19</xdr:col>
      <xdr:colOff>942975</xdr:colOff>
      <xdr:row>0</xdr:row>
      <xdr:rowOff>85725</xdr:rowOff>
    </xdr:from>
    <xdr:to>
      <xdr:col>30</xdr:col>
      <xdr:colOff>428625</xdr:colOff>
      <xdr:row>18</xdr:row>
      <xdr:rowOff>38100</xdr:rowOff>
    </xdr:to>
    <xdr:pic>
      <xdr:nvPicPr>
        <xdr:cNvPr id="2" name="Picture 1">
          <a:extLst>
            <a:ext uri="{FF2B5EF4-FFF2-40B4-BE49-F238E27FC236}">
              <a16:creationId xmlns:a16="http://schemas.microsoft.com/office/drawing/2014/main" id="{D26DE45A-1261-F964-3F88-759A22BBEB85}"/>
            </a:ext>
            <a:ext uri="{147F2762-F138-4A5C-976F-8EAC2B608ADB}">
              <a16:predDERef xmlns:a16="http://schemas.microsoft.com/office/drawing/2014/main" pred="{7268E12F-B0AC-408F-8D62-B181049C8790}"/>
            </a:ext>
          </a:extLst>
        </xdr:cNvPr>
        <xdr:cNvPicPr>
          <a:picLocks noChangeAspect="1"/>
        </xdr:cNvPicPr>
      </xdr:nvPicPr>
      <xdr:blipFill>
        <a:blip xmlns:r="http://schemas.openxmlformats.org/officeDocument/2006/relationships" r:embed="rId2"/>
        <a:stretch>
          <a:fillRect/>
        </a:stretch>
      </xdr:blipFill>
      <xdr:spPr>
        <a:xfrm>
          <a:off x="17202150" y="85725"/>
          <a:ext cx="8867775" cy="3400425"/>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0B0CEACF-E74B-4EB1-A43C-15CF5CD517B4}">
    <nsvFilter filterId="{F1AE031C-6983-4CD8-A2D4-107A898C3BF4}" ref="B7:AW281" tableId="0"/>
  </namedSheetView>
  <namedSheetView name="عرض 1" id="{0E57B82D-0BB7-4CD8-B40D-7E7610F755B6}">
    <nsvFilter filterId="{F1AE031C-6983-4CD8-A2D4-107A898C3BF4}" ref="B7:AW281" tableId="0">
      <columnFilter colId="4">
        <filter colId="4">
          <x:filters>
            <x:filter val="Support services"/>
          </x:filters>
        </filter>
      </columnFilter>
    </nsvFilter>
  </namedSheetView>
  <namedSheetView name="عرض 2" id="{857AA555-D4B4-45EB-802B-D9CD67B96BF0}">
    <nsvFilter filterId="{F1AE031C-6983-4CD8-A2D4-107A898C3BF4}" ref="B7:AW281" tableId="0">
      <columnFilter colId="4">
        <filter colId="4">
          <x:filters>
            <x:filter val="Support services"/>
          </x:filters>
        </filter>
      </columnFilter>
    </nsvFilter>
  </namedSheetView>
</namedSheetViews>
</file>

<file path=xl/persons/person.xml><?xml version="1.0" encoding="utf-8"?>
<personList xmlns="http://schemas.microsoft.com/office/spreadsheetml/2018/threadedcomments" xmlns:x="http://schemas.openxmlformats.org/spreadsheetml/2006/main">
  <person displayName="Abdulaziz Ali Yahya Zailaie" id="{029ACACB-C229-47AB-B370-8D36ED78EB57}" userId="AbdulazizZailaie@YCC.SA" providerId="PeoplePicker"/>
  <person displayName="Ahmed Abdulhalim" id="{F58E7629-29A2-440D-B7D9-837059D46132}" userId="S::ahalim@ycc.sa::917f3c39-8ac0-41c2-9f6c-dd9289d1611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A5C803-E4CC-4339-A512-A98F549F9A66}" name="Table2" displayName="Table2" ref="B1:C10" totalsRowShown="0" headerRowDxfId="127">
  <autoFilter ref="B1:C10" xr:uid="{3A9CD0E8-AAF5-4E4D-817B-156B3B403092}"/>
  <tableColumns count="2">
    <tableColumn id="1" xr3:uid="{8F016AE1-3272-4DE3-A7DE-C53C33E551E5}" name="Risk Category"/>
    <tableColumn id="2" xr3:uid="{AF8827B5-6A13-46C7-8A31-54A94109C6E8}" name="Sector"/>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T83" dT="2025-03-03T09:28:30.85" personId="{F58E7629-29A2-440D-B7D9-837059D46132}" id="{DC13E3E4-05C2-416D-910F-FB102633BCBE}">
    <text xml:space="preserve">Please add Justification for changing the treatment due date @Abdulaziz Ali Yahya Zailaie </text>
    <mentions>
      <mention mentionpersonId="{029ACACB-C229-47AB-B370-8D36ED78EB57}" mentionId="{E8D917AD-D7F8-44A5-B655-B31DCBA7FAA1}" startIndex="61" length="28"/>
    </mentions>
  </threadedComment>
  <threadedComment ref="AV83" dT="2025-03-03T09:29:25.29" personId="{F58E7629-29A2-440D-B7D9-837059D46132}" id="{46319DFA-F639-459B-B671-392BC0A1A04D}" done="1">
    <text xml:space="preserve">please update the review date. @Abdulaziz Ali Yahya Zailaie </text>
    <mentions>
      <mention mentionpersonId="{029ACACB-C229-47AB-B370-8D36ED78EB57}" mentionId="{3A82968C-00D5-4430-AD97-2F5ACC387EDF}" startIndex="31" length="28"/>
    </mentions>
  </threadedComment>
  <threadedComment ref="AT86" dT="2025-03-03T09:28:30.85" personId="{F58E7629-29A2-440D-B7D9-837059D46132}" id="{EE164E67-5EEF-48F5-8C84-92983DFF53E7}">
    <text xml:space="preserve">Please add Justification for changing the treatment due date @Abdulaziz Ali Yahya Zailaie </text>
    <mentions>
      <mention mentionpersonId="{029ACACB-C229-47AB-B370-8D36ED78EB57}" mentionId="{D29595A0-B07C-47F2-9756-1C5F5EB5E5B9}" startIndex="61" length="28"/>
    </mentions>
  </threadedComment>
  <threadedComment ref="AV86" dT="2025-03-03T09:29:25.29" personId="{F58E7629-29A2-440D-B7D9-837059D46132}" id="{ECF36896-F898-4B98-A2BA-7194CD00C738}" done="1">
    <text xml:space="preserve">please update the review date. @Abdulaziz Ali Yahya Zailaie </text>
    <mentions>
      <mention mentionpersonId="{029ACACB-C229-47AB-B370-8D36ED78EB57}" mentionId="{F9B9403C-D3A2-45E5-BDCB-B3D4522AB7B9}" startIndex="31" length="28"/>
    </mentions>
  </threadedComment>
  <threadedComment ref="AT122" dT="2025-03-03T09:28:42.01" personId="{F58E7629-29A2-440D-B7D9-837059D46132}" id="{2F54D032-0673-4E54-9B89-F6221DE34C88}" done="1">
    <text xml:space="preserve">Please add Justification for changing the treatment due date @Abdulaziz Ali Yahya Zailaie </text>
    <mentions>
      <mention mentionpersonId="{029ACACB-C229-47AB-B370-8D36ED78EB57}" mentionId="{9B1D7457-3C2B-4841-AF22-BF4827BC69D9}" startIndex="61" length="28"/>
    </mentions>
  </threadedComment>
  <threadedComment ref="AV122" dT="2025-03-03T09:29:25.29" personId="{F58E7629-29A2-440D-B7D9-837059D46132}" id="{B218D23A-1697-44AA-82C2-25AF6026604F}" done="1">
    <text xml:space="preserve">please update the review date. @Abdulaziz Ali Yahya Zailaie </text>
    <mentions>
      <mention mentionpersonId="{029ACACB-C229-47AB-B370-8D36ED78EB57}" mentionId="{7DB0EDBE-5AB9-4338-A3C3-A8AFD8821005}" startIndex="31" length="28"/>
    </mentions>
  </threadedComment>
  <threadedComment ref="AT123" dT="2025-03-03T09:28:49.79" personId="{F58E7629-29A2-440D-B7D9-837059D46132}" id="{65D5A3F5-1856-465C-B769-3D0D9D4248EC}" done="1">
    <text xml:space="preserve">Please add Justification for changing the treatment due date @Abdulaziz Ali Yahya Zailaie </text>
    <mentions>
      <mention mentionpersonId="{029ACACB-C229-47AB-B370-8D36ED78EB57}" mentionId="{B2D5B97F-6E4E-4FA4-96C9-DB5E2DD74291}" startIndex="61" length="28"/>
    </mentions>
  </threadedComment>
  <threadedComment ref="AV123" dT="2025-03-03T09:29:30.59" personId="{F58E7629-29A2-440D-B7D9-837059D46132}" id="{540EE493-F5B7-4D2D-8493-D9D2B75DD0AD}" done="1">
    <text xml:space="preserve">please update the review date. @Abdulaziz Ali Yahya Zailaie </text>
    <mentions>
      <mention mentionpersonId="{029ACACB-C229-47AB-B370-8D36ED78EB57}" mentionId="{6BF26348-61CA-4E00-84CC-15D5C582DE02}" startIndex="31" length="28"/>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yanbucement-my.sharepoint.com/personal/YCC-TechnicalDepartment/Shared%20Documents/Forms/AllItems.aspx?id=%2Fsites%2FYCC%2DTechnicalDepartment%2FShared%20Documents%2F03%20QUARRY%20AND%20QUALITY%2FQuarry%2F4%2DConsultancy%2F05%20Quarry%27s%20license&amp;viewid=667af3f9%2Dc4ae%2D4114%2D9aa1%2D80a41527ba42" TargetMode="External"/><Relationship Id="rId6" Type="http://schemas.microsoft.com/office/2019/04/relationships/namedSheetView" Target="../namedSheetViews/namedSheetView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76"/>
  <sheetViews>
    <sheetView showZeros="0" tabSelected="1" zoomScale="110" zoomScaleNormal="110" workbookViewId="0">
      <pane ySplit="1" topLeftCell="A2" activePane="bottomLeft" state="frozen"/>
      <selection activeCell="A29" sqref="A29"/>
      <selection pane="bottomLeft" activeCell="F5" sqref="F5"/>
    </sheetView>
  </sheetViews>
  <sheetFormatPr defaultColWidth="8.75" defaultRowHeight="15" customHeight="1" x14ac:dyDescent="0.2"/>
  <cols>
    <col min="1" max="1" width="8.75" style="2"/>
    <col min="2" max="2" width="23.125" style="35" customWidth="1"/>
    <col min="3" max="3" width="13.375" style="2" customWidth="1"/>
    <col min="4" max="4" width="19.125" style="2" customWidth="1"/>
    <col min="5" max="5" width="24.75" customWidth="1"/>
    <col min="6" max="6" width="24.125" style="34" bestFit="1" customWidth="1"/>
    <col min="7" max="7" width="23.75" style="34" bestFit="1" customWidth="1"/>
    <col min="8" max="8" width="18" style="2" customWidth="1"/>
    <col min="9" max="9" width="24.75" style="2" customWidth="1"/>
    <col min="10" max="10" width="18.25" style="34" customWidth="1"/>
    <col min="11" max="11" width="19.875" style="2" bestFit="1" customWidth="1"/>
    <col min="12" max="12" width="44.75" style="2" customWidth="1"/>
    <col min="13" max="13" width="22" style="2" customWidth="1"/>
    <col min="14" max="14" width="21.75" style="2" customWidth="1"/>
    <col min="15" max="15" width="21.125" style="2" customWidth="1"/>
    <col min="16" max="16" width="19.75" style="2" customWidth="1"/>
    <col min="17" max="17" width="17.875" style="2" customWidth="1"/>
    <col min="18" max="18" width="17.25" style="2" customWidth="1"/>
    <col min="19" max="19" width="21.125" style="2" customWidth="1"/>
    <col min="20" max="20" width="21.25" style="2" customWidth="1"/>
    <col min="21" max="22" width="28" style="2" customWidth="1"/>
    <col min="23" max="23" width="19.25" style="2" customWidth="1"/>
    <col min="24" max="24" width="22.375" style="2" customWidth="1"/>
    <col min="25" max="25" width="28" style="2" customWidth="1"/>
    <col min="26" max="26" width="22.75" style="2" customWidth="1"/>
    <col min="27" max="27" width="15.375" style="2" customWidth="1"/>
    <col min="28" max="28" width="17.75" style="2" customWidth="1"/>
    <col min="29" max="29" width="21.875" style="2" customWidth="1"/>
    <col min="30" max="30" width="18.25" style="2" customWidth="1"/>
    <col min="31" max="31" width="13.25" style="2" customWidth="1"/>
    <col min="32" max="32" width="9.75" style="2" bestFit="1" customWidth="1"/>
    <col min="33" max="33" width="20.25" style="2" customWidth="1"/>
    <col min="34" max="34" width="23.375" style="2" bestFit="1" customWidth="1"/>
    <col min="35" max="35" width="23.375" style="2" hidden="1" customWidth="1"/>
    <col min="36" max="36" width="5.875" style="2" hidden="1" customWidth="1"/>
    <col min="37" max="37" width="2.25" style="2" hidden="1" customWidth="1"/>
    <col min="38" max="38" width="13.75" style="2" customWidth="1"/>
    <col min="39" max="39" width="14.125" style="2" customWidth="1"/>
    <col min="40" max="40" width="15" style="2" customWidth="1"/>
    <col min="41" max="41" width="9.375" style="2" customWidth="1"/>
    <col min="42" max="42" width="15.25" style="2" customWidth="1"/>
    <col min="43" max="43" width="18.125" style="2" customWidth="1"/>
    <col min="44" max="44" width="28" style="2" customWidth="1"/>
    <col min="45" max="45" width="20" style="2" customWidth="1"/>
    <col min="46" max="46" width="21.75" style="148" customWidth="1"/>
    <col min="47" max="47" width="15.125" style="35" customWidth="1"/>
    <col min="48" max="48" width="18.875" style="33" customWidth="1"/>
    <col min="49" max="49" width="48.75" style="41" customWidth="1"/>
    <col min="50" max="16384" width="8.75" style="2"/>
  </cols>
  <sheetData>
    <row r="1" spans="1:49" s="42" customFormat="1" ht="70.5" thickBot="1" x14ac:dyDescent="0.4">
      <c r="A1" s="43" t="s">
        <v>0</v>
      </c>
      <c r="B1" s="43" t="s">
        <v>1</v>
      </c>
      <c r="C1" s="43" t="s">
        <v>2</v>
      </c>
      <c r="D1" s="43" t="s">
        <v>3</v>
      </c>
      <c r="E1" s="43" t="s">
        <v>4</v>
      </c>
      <c r="F1" s="43" t="s">
        <v>5</v>
      </c>
      <c r="G1" s="43" t="s">
        <v>6</v>
      </c>
      <c r="H1" s="43" t="s">
        <v>7</v>
      </c>
      <c r="I1" s="43" t="s">
        <v>8</v>
      </c>
      <c r="J1" s="43" t="s">
        <v>9</v>
      </c>
      <c r="K1" s="43" t="s">
        <v>10</v>
      </c>
      <c r="L1" s="43" t="s">
        <v>11</v>
      </c>
      <c r="M1" s="43" t="s">
        <v>12</v>
      </c>
      <c r="N1" s="43" t="s">
        <v>13</v>
      </c>
      <c r="O1" s="43" t="s">
        <v>14</v>
      </c>
      <c r="P1" s="43" t="s">
        <v>15</v>
      </c>
      <c r="Q1" s="43" t="s">
        <v>16</v>
      </c>
      <c r="R1" s="43" t="s">
        <v>17</v>
      </c>
      <c r="S1" s="43" t="s">
        <v>18</v>
      </c>
      <c r="T1" s="43" t="s">
        <v>19</v>
      </c>
      <c r="U1" s="43" t="s">
        <v>20</v>
      </c>
      <c r="V1" s="43" t="s">
        <v>21</v>
      </c>
      <c r="W1" s="43" t="s">
        <v>22</v>
      </c>
      <c r="X1" s="43" t="s">
        <v>23</v>
      </c>
      <c r="Y1" s="43" t="s">
        <v>24</v>
      </c>
      <c r="Z1" s="43" t="s">
        <v>25</v>
      </c>
      <c r="AA1" s="162" t="s">
        <v>26</v>
      </c>
      <c r="AB1" s="163"/>
      <c r="AC1" s="43" t="s">
        <v>27</v>
      </c>
      <c r="AD1" s="43" t="s">
        <v>28</v>
      </c>
      <c r="AE1" s="130" t="s">
        <v>29</v>
      </c>
      <c r="AF1" s="129"/>
      <c r="AG1" s="108" t="s">
        <v>30</v>
      </c>
      <c r="AH1" s="141" t="s">
        <v>31</v>
      </c>
      <c r="AI1" s="142"/>
      <c r="AJ1" s="142"/>
      <c r="AK1" s="142"/>
      <c r="AL1" s="140"/>
      <c r="AM1" s="162" t="s">
        <v>32</v>
      </c>
      <c r="AN1" s="163"/>
      <c r="AO1" s="139" t="s">
        <v>33</v>
      </c>
      <c r="AP1" s="140"/>
      <c r="AQ1" s="43" t="s">
        <v>34</v>
      </c>
      <c r="AR1" s="43" t="s">
        <v>35</v>
      </c>
      <c r="AS1" s="43" t="s">
        <v>36</v>
      </c>
      <c r="AT1" s="146" t="s">
        <v>37</v>
      </c>
      <c r="AU1" s="43" t="s">
        <v>38</v>
      </c>
      <c r="AV1" s="44" t="s">
        <v>39</v>
      </c>
      <c r="AW1" s="45" t="s">
        <v>40</v>
      </c>
    </row>
    <row r="2" spans="1:49" customFormat="1" ht="54.6" customHeight="1" x14ac:dyDescent="0.2">
      <c r="A2" s="46" t="s">
        <v>41</v>
      </c>
      <c r="B2" s="46" t="s">
        <v>42</v>
      </c>
      <c r="C2" s="46" t="s">
        <v>43</v>
      </c>
      <c r="D2" s="125" t="s">
        <v>44</v>
      </c>
      <c r="E2" s="126"/>
      <c r="F2" s="46" t="s">
        <v>45</v>
      </c>
      <c r="G2" s="46" t="s">
        <v>46</v>
      </c>
      <c r="H2" s="46" t="s">
        <v>47</v>
      </c>
      <c r="I2" s="46" t="s">
        <v>48</v>
      </c>
      <c r="J2" s="46" t="s">
        <v>49</v>
      </c>
      <c r="K2" s="46" t="s">
        <v>50</v>
      </c>
      <c r="L2" s="46" t="s">
        <v>51</v>
      </c>
      <c r="M2" s="46" t="s">
        <v>52</v>
      </c>
      <c r="N2" s="46" t="s">
        <v>53</v>
      </c>
      <c r="O2" s="46" t="s">
        <v>54</v>
      </c>
      <c r="P2" s="46" t="s">
        <v>55</v>
      </c>
      <c r="Q2" s="46" t="s">
        <v>56</v>
      </c>
      <c r="R2" s="46" t="s">
        <v>57</v>
      </c>
      <c r="S2" s="46" t="s">
        <v>58</v>
      </c>
      <c r="T2" s="46" t="s">
        <v>59</v>
      </c>
      <c r="U2" s="46" t="s">
        <v>60</v>
      </c>
      <c r="V2" s="46" t="s">
        <v>61</v>
      </c>
      <c r="W2" s="46" t="s">
        <v>62</v>
      </c>
      <c r="X2" s="46" t="s">
        <v>63</v>
      </c>
      <c r="Y2" s="46" t="s">
        <v>64</v>
      </c>
      <c r="Z2" s="46" t="s">
        <v>65</v>
      </c>
      <c r="AA2" s="125" t="s">
        <v>66</v>
      </c>
      <c r="AB2" s="126"/>
      <c r="AC2" s="125" t="s">
        <v>67</v>
      </c>
      <c r="AD2" s="126"/>
      <c r="AE2" s="164" t="s">
        <v>68</v>
      </c>
      <c r="AF2" s="165"/>
      <c r="AG2" s="107" t="s">
        <v>69</v>
      </c>
      <c r="AH2" s="127" t="s">
        <v>70</v>
      </c>
      <c r="AI2" s="128"/>
      <c r="AJ2" s="128"/>
      <c r="AK2" s="128"/>
      <c r="AL2" s="126"/>
      <c r="AM2" s="125" t="s">
        <v>67</v>
      </c>
      <c r="AN2" s="126"/>
      <c r="AO2" s="125" t="s">
        <v>68</v>
      </c>
      <c r="AP2" s="126"/>
      <c r="AQ2" s="46"/>
      <c r="AR2" s="46" t="s">
        <v>71</v>
      </c>
      <c r="AS2" s="46" t="s">
        <v>72</v>
      </c>
      <c r="AT2" s="47" t="s">
        <v>73</v>
      </c>
      <c r="AU2" s="46" t="s">
        <v>74</v>
      </c>
      <c r="AV2" s="47" t="s">
        <v>75</v>
      </c>
      <c r="AW2" s="48" t="s">
        <v>76</v>
      </c>
    </row>
    <row r="3" spans="1:49" s="3" customFormat="1" ht="90" x14ac:dyDescent="0.2">
      <c r="A3" s="49">
        <v>1</v>
      </c>
      <c r="B3" s="49" t="s">
        <v>77</v>
      </c>
      <c r="C3" s="49" t="s">
        <v>17</v>
      </c>
      <c r="D3" s="49" t="s">
        <v>17</v>
      </c>
      <c r="E3" s="49" t="s">
        <v>78</v>
      </c>
      <c r="F3" s="49" t="s">
        <v>79</v>
      </c>
      <c r="G3" s="49" t="s">
        <v>80</v>
      </c>
      <c r="H3" s="49" t="s">
        <v>81</v>
      </c>
      <c r="I3" s="49" t="s">
        <v>82</v>
      </c>
      <c r="J3" s="49" t="s">
        <v>83</v>
      </c>
      <c r="K3" s="49" t="s">
        <v>83</v>
      </c>
      <c r="L3" s="49" t="s">
        <v>84</v>
      </c>
      <c r="M3" s="49" t="s">
        <v>84</v>
      </c>
      <c r="N3" s="49"/>
      <c r="O3" s="49" t="s">
        <v>85</v>
      </c>
      <c r="P3" s="49" t="s">
        <v>86</v>
      </c>
      <c r="Q3" s="49"/>
      <c r="R3" s="49">
        <v>4</v>
      </c>
      <c r="S3" s="49"/>
      <c r="T3" s="49"/>
      <c r="U3" s="49"/>
      <c r="V3" s="49"/>
      <c r="W3" s="49"/>
      <c r="X3" s="49"/>
      <c r="Y3" s="49"/>
      <c r="Z3" s="49"/>
      <c r="AA3" s="114">
        <f>MAX(R3:Z3)</f>
        <v>4</v>
      </c>
      <c r="AB3" s="101" t="s">
        <v>87</v>
      </c>
      <c r="AC3" s="49">
        <v>2</v>
      </c>
      <c r="AD3" s="101" t="str">
        <f t="shared" ref="AD3:AD61" si="0">IF(AC3=1,"Very Low",IF(AC3=2,"Low",IF(AC3=3,"Medium",IF(AC3=4,"High",IF(AC3=5,"Very High",)))))</f>
        <v>Low</v>
      </c>
      <c r="AE3" s="101">
        <f>AA3*AC3</f>
        <v>8</v>
      </c>
      <c r="AF3" s="102" t="str">
        <f t="shared" ref="AF3:AF58" si="1">IF(AE3=1,"Very Low",IF(AE3=2,"Very Low",IF(AE3=3,"Very Low",IF(AE3=4,"Very Low",IF(AE3=5,"Very Low",IF(AE3=6,"Very Low",IF(AE3=8,"Low",IF(AE3=9,"Low",IF(AE3=10,"Medium",IF(AE3=12,"Medium",IF(AE3=15,"High",IF(AE3=16,"High",IF(AE3=20,"Very High",IF(AE3=25,"Very High",))))))))))))))</f>
        <v>Low</v>
      </c>
      <c r="AG3" s="50" t="s">
        <v>88</v>
      </c>
      <c r="AH3" s="51">
        <v>1</v>
      </c>
      <c r="AI3" s="137"/>
      <c r="AJ3" s="49"/>
      <c r="AK3" s="49"/>
      <c r="AL3" s="101" t="str">
        <f t="shared" ref="AL3:AL58" si="2">IF(AH3=1,"Very Low",IF(AH3=2,"Low",IF(AH3=3,"Medium",IF(AH3=4,"High",IF(AH3=5,"Very High",)))))</f>
        <v>Very Low</v>
      </c>
      <c r="AM3" s="49">
        <v>1</v>
      </c>
      <c r="AN3" s="101" t="str">
        <f>IF(AM3=1,"Very Low",IF(AM3=2,"Low",IF(AM3=3,"Medium",IF(AM3=4,"High",IF(AM3=5,"Very High",)))))</f>
        <v>Very Low</v>
      </c>
      <c r="AO3" s="101">
        <f>AH3*AM3</f>
        <v>1</v>
      </c>
      <c r="AP3" s="101" t="str">
        <f t="shared" ref="AP3:AP62" si="3">IF(AO3=1,"Very Low",IF(AO3=2,"Very Low",IF(AO3=3,"Very Low",IF(AO3=4,"Very Low",IF(AO3=5,"Very Low",IF(AO3=6,"Very Low",IF(AO3=8,"Low",IF(AO3=9,"Low",IF(AO3=10,"Medium",IF(AO3=12,"Medium",IF(AO3=15,"High",IF(AO3=16,"High",IF(AO3=20,"Very High",IF(AO3=25,"Very High",))))))))))))))</f>
        <v>Very Low</v>
      </c>
      <c r="AQ3" s="49" t="s">
        <v>89</v>
      </c>
      <c r="AR3" s="49" t="s">
        <v>90</v>
      </c>
      <c r="AS3" s="49" t="s">
        <v>91</v>
      </c>
      <c r="AT3" s="147">
        <v>45657</v>
      </c>
      <c r="AU3" s="53" t="s">
        <v>92</v>
      </c>
      <c r="AV3" s="52">
        <v>45657</v>
      </c>
      <c r="AW3" s="54" t="s">
        <v>93</v>
      </c>
    </row>
    <row r="4" spans="1:49" s="3" customFormat="1" ht="105" x14ac:dyDescent="0.2">
      <c r="A4" s="49">
        <v>2</v>
      </c>
      <c r="B4" s="49" t="s">
        <v>94</v>
      </c>
      <c r="C4" s="49" t="s">
        <v>17</v>
      </c>
      <c r="D4" s="49" t="s">
        <v>17</v>
      </c>
      <c r="E4" s="49" t="s">
        <v>95</v>
      </c>
      <c r="F4" s="49" t="s">
        <v>79</v>
      </c>
      <c r="G4" s="49" t="s">
        <v>80</v>
      </c>
      <c r="H4" s="49" t="s">
        <v>96</v>
      </c>
      <c r="I4" s="49" t="s">
        <v>97</v>
      </c>
      <c r="J4" s="49" t="s">
        <v>83</v>
      </c>
      <c r="K4" s="49" t="s">
        <v>83</v>
      </c>
      <c r="L4" s="49" t="s">
        <v>98</v>
      </c>
      <c r="M4" s="49" t="s">
        <v>99</v>
      </c>
      <c r="N4" s="49"/>
      <c r="O4" s="49" t="s">
        <v>85</v>
      </c>
      <c r="P4" s="49" t="s">
        <v>86</v>
      </c>
      <c r="Q4" s="49"/>
      <c r="R4" s="49">
        <v>5</v>
      </c>
      <c r="S4" s="49"/>
      <c r="T4" s="49"/>
      <c r="U4" s="49"/>
      <c r="V4" s="49"/>
      <c r="W4" s="49"/>
      <c r="X4" s="49"/>
      <c r="Y4" s="49"/>
      <c r="Z4" s="49"/>
      <c r="AA4" s="114">
        <f>MAX(R4:Z4)</f>
        <v>5</v>
      </c>
      <c r="AB4" s="101" t="s">
        <v>100</v>
      </c>
      <c r="AC4" s="49">
        <v>5</v>
      </c>
      <c r="AD4" s="101" t="str">
        <f t="shared" si="0"/>
        <v>Very High</v>
      </c>
      <c r="AE4" s="101">
        <f t="shared" ref="AE4:AE67" si="4">AA4*AC4</f>
        <v>25</v>
      </c>
      <c r="AF4" s="102" t="str">
        <f t="shared" si="1"/>
        <v>Very High</v>
      </c>
      <c r="AG4" s="50" t="s">
        <v>88</v>
      </c>
      <c r="AH4" s="51">
        <v>2</v>
      </c>
      <c r="AI4" s="137"/>
      <c r="AJ4" s="49"/>
      <c r="AK4" s="49"/>
      <c r="AL4" s="101" t="str">
        <f t="shared" si="2"/>
        <v>Low</v>
      </c>
      <c r="AM4" s="49">
        <v>1</v>
      </c>
      <c r="AN4" s="101" t="str">
        <f t="shared" ref="AN4:AN58" si="5">IF(AM4=1,"Very Low",IF(AM4=2,"Low",IF(AM4=3,"Medium",IF(AM4=4,"High",IF(AM4=5,"Very High",)))))</f>
        <v>Very Low</v>
      </c>
      <c r="AO4" s="101">
        <f t="shared" ref="AO4:AO53" si="6">AH4*AM4</f>
        <v>2</v>
      </c>
      <c r="AP4" s="101" t="str">
        <f t="shared" si="3"/>
        <v>Very Low</v>
      </c>
      <c r="AQ4" s="49" t="s">
        <v>89</v>
      </c>
      <c r="AR4" s="49" t="s">
        <v>101</v>
      </c>
      <c r="AS4" s="49" t="s">
        <v>91</v>
      </c>
      <c r="AT4" s="147">
        <v>45869</v>
      </c>
      <c r="AU4" s="53" t="s">
        <v>102</v>
      </c>
      <c r="AV4" s="52">
        <v>45721</v>
      </c>
      <c r="AW4" s="54" t="s">
        <v>103</v>
      </c>
    </row>
    <row r="5" spans="1:49" s="3" customFormat="1" ht="90" x14ac:dyDescent="0.2">
      <c r="A5" s="49">
        <v>3</v>
      </c>
      <c r="B5" s="49" t="s">
        <v>104</v>
      </c>
      <c r="C5" s="49" t="s">
        <v>17</v>
      </c>
      <c r="D5" s="49" t="s">
        <v>17</v>
      </c>
      <c r="E5" s="49" t="s">
        <v>105</v>
      </c>
      <c r="F5" s="49" t="s">
        <v>79</v>
      </c>
      <c r="G5" s="49" t="s">
        <v>80</v>
      </c>
      <c r="H5" s="49" t="s">
        <v>106</v>
      </c>
      <c r="I5" s="49" t="s">
        <v>107</v>
      </c>
      <c r="J5" s="49" t="s">
        <v>83</v>
      </c>
      <c r="K5" s="49" t="s">
        <v>83</v>
      </c>
      <c r="L5" s="49" t="s">
        <v>108</v>
      </c>
      <c r="M5" s="49"/>
      <c r="N5" s="49"/>
      <c r="O5" s="49" t="s">
        <v>85</v>
      </c>
      <c r="P5" s="49" t="s">
        <v>86</v>
      </c>
      <c r="Q5" s="49"/>
      <c r="R5" s="49">
        <v>3</v>
      </c>
      <c r="S5" s="49"/>
      <c r="T5" s="49"/>
      <c r="U5" s="49"/>
      <c r="V5" s="49"/>
      <c r="W5" s="49"/>
      <c r="X5" s="49"/>
      <c r="Y5" s="49"/>
      <c r="Z5" s="49"/>
      <c r="AA5" s="114">
        <f t="shared" ref="AA5:AA61" si="7">MAX(R5:Z5)</f>
        <v>3</v>
      </c>
      <c r="AB5" s="101" t="s">
        <v>109</v>
      </c>
      <c r="AC5" s="49">
        <v>1</v>
      </c>
      <c r="AD5" s="101" t="str">
        <f t="shared" si="0"/>
        <v>Very Low</v>
      </c>
      <c r="AE5" s="101">
        <f t="shared" si="4"/>
        <v>3</v>
      </c>
      <c r="AF5" s="102" t="str">
        <f t="shared" si="1"/>
        <v>Very Low</v>
      </c>
      <c r="AG5" s="50" t="s">
        <v>88</v>
      </c>
      <c r="AH5" s="51">
        <v>1</v>
      </c>
      <c r="AI5" s="137"/>
      <c r="AJ5" s="49"/>
      <c r="AK5" s="49"/>
      <c r="AL5" s="101" t="str">
        <f t="shared" si="2"/>
        <v>Very Low</v>
      </c>
      <c r="AM5" s="49">
        <v>1</v>
      </c>
      <c r="AN5" s="101" t="str">
        <f t="shared" si="5"/>
        <v>Very Low</v>
      </c>
      <c r="AO5" s="101">
        <f t="shared" si="6"/>
        <v>1</v>
      </c>
      <c r="AP5" s="101" t="str">
        <f t="shared" si="3"/>
        <v>Very Low</v>
      </c>
      <c r="AQ5" s="49" t="s">
        <v>89</v>
      </c>
      <c r="AR5" s="49" t="s">
        <v>110</v>
      </c>
      <c r="AS5" s="49" t="s">
        <v>91</v>
      </c>
      <c r="AT5" s="147">
        <v>45869</v>
      </c>
      <c r="AU5" s="53" t="s">
        <v>102</v>
      </c>
      <c r="AV5" s="52">
        <v>45721</v>
      </c>
      <c r="AW5" s="54" t="s">
        <v>103</v>
      </c>
    </row>
    <row r="6" spans="1:49" s="3" customFormat="1" ht="165" x14ac:dyDescent="0.2">
      <c r="A6" s="49">
        <v>4</v>
      </c>
      <c r="B6" s="49" t="s">
        <v>111</v>
      </c>
      <c r="C6" s="49" t="s">
        <v>17</v>
      </c>
      <c r="D6" s="49" t="s">
        <v>17</v>
      </c>
      <c r="E6" s="49" t="s">
        <v>112</v>
      </c>
      <c r="F6" s="49" t="s">
        <v>113</v>
      </c>
      <c r="G6" s="49" t="s">
        <v>80</v>
      </c>
      <c r="H6" s="49" t="s">
        <v>114</v>
      </c>
      <c r="I6" s="49" t="s">
        <v>115</v>
      </c>
      <c r="J6" s="49" t="s">
        <v>116</v>
      </c>
      <c r="K6" s="49" t="s">
        <v>116</v>
      </c>
      <c r="L6" s="49" t="s">
        <v>117</v>
      </c>
      <c r="M6" s="49" t="s">
        <v>115</v>
      </c>
      <c r="N6" s="49"/>
      <c r="O6" s="49" t="s">
        <v>85</v>
      </c>
      <c r="P6" s="49" t="s">
        <v>86</v>
      </c>
      <c r="Q6" s="49"/>
      <c r="R6" s="49">
        <v>2</v>
      </c>
      <c r="S6" s="49"/>
      <c r="T6" s="49"/>
      <c r="U6" s="49"/>
      <c r="V6" s="49"/>
      <c r="W6" s="49"/>
      <c r="X6" s="49"/>
      <c r="Y6" s="49"/>
      <c r="Z6" s="49"/>
      <c r="AA6" s="114">
        <f t="shared" si="7"/>
        <v>2</v>
      </c>
      <c r="AB6" s="101" t="s">
        <v>118</v>
      </c>
      <c r="AC6" s="49">
        <v>3</v>
      </c>
      <c r="AD6" s="101" t="str">
        <f t="shared" si="0"/>
        <v>Medium</v>
      </c>
      <c r="AE6" s="101">
        <f t="shared" si="4"/>
        <v>6</v>
      </c>
      <c r="AF6" s="102" t="str">
        <f t="shared" si="1"/>
        <v>Very Low</v>
      </c>
      <c r="AG6" s="50" t="s">
        <v>88</v>
      </c>
      <c r="AH6" s="51">
        <v>1</v>
      </c>
      <c r="AI6" s="137"/>
      <c r="AJ6" s="49"/>
      <c r="AK6" s="49"/>
      <c r="AL6" s="101" t="str">
        <f t="shared" si="2"/>
        <v>Very Low</v>
      </c>
      <c r="AM6" s="49">
        <v>1</v>
      </c>
      <c r="AN6" s="101" t="str">
        <f t="shared" si="5"/>
        <v>Very Low</v>
      </c>
      <c r="AO6" s="101">
        <f t="shared" si="6"/>
        <v>1</v>
      </c>
      <c r="AP6" s="101" t="str">
        <f t="shared" si="3"/>
        <v>Very Low</v>
      </c>
      <c r="AQ6" s="49" t="s">
        <v>89</v>
      </c>
      <c r="AR6" s="49" t="s">
        <v>119</v>
      </c>
      <c r="AS6" s="49" t="s">
        <v>91</v>
      </c>
      <c r="AT6" s="147">
        <v>45747</v>
      </c>
      <c r="AU6" s="53" t="s">
        <v>102</v>
      </c>
      <c r="AV6" s="52">
        <v>45721</v>
      </c>
      <c r="AW6" s="54"/>
    </row>
    <row r="7" spans="1:49" s="3" customFormat="1" ht="135" x14ac:dyDescent="0.2">
      <c r="A7" s="49">
        <v>5</v>
      </c>
      <c r="B7" s="49" t="s">
        <v>120</v>
      </c>
      <c r="C7" s="49" t="s">
        <v>17</v>
      </c>
      <c r="D7" s="49" t="s">
        <v>17</v>
      </c>
      <c r="E7" s="49" t="s">
        <v>121</v>
      </c>
      <c r="F7" s="49" t="s">
        <v>79</v>
      </c>
      <c r="G7" s="49" t="s">
        <v>80</v>
      </c>
      <c r="H7" s="49" t="s">
        <v>122</v>
      </c>
      <c r="I7" s="49" t="s">
        <v>123</v>
      </c>
      <c r="J7" s="49" t="s">
        <v>83</v>
      </c>
      <c r="K7" s="49" t="s">
        <v>83</v>
      </c>
      <c r="L7" s="49" t="s">
        <v>124</v>
      </c>
      <c r="M7" s="49" t="s">
        <v>123</v>
      </c>
      <c r="N7" s="49"/>
      <c r="O7" s="49" t="s">
        <v>125</v>
      </c>
      <c r="P7" s="49" t="s">
        <v>86</v>
      </c>
      <c r="Q7" s="49"/>
      <c r="R7" s="49">
        <v>5</v>
      </c>
      <c r="S7" s="49">
        <v>2</v>
      </c>
      <c r="T7" s="49"/>
      <c r="U7" s="49"/>
      <c r="V7" s="49"/>
      <c r="W7" s="49"/>
      <c r="X7" s="49"/>
      <c r="Y7" s="49"/>
      <c r="Z7" s="49"/>
      <c r="AA7" s="114">
        <f t="shared" si="7"/>
        <v>5</v>
      </c>
      <c r="AB7" s="101" t="s">
        <v>100</v>
      </c>
      <c r="AC7" s="49">
        <v>4</v>
      </c>
      <c r="AD7" s="101" t="str">
        <f t="shared" si="0"/>
        <v>High</v>
      </c>
      <c r="AE7" s="101">
        <f t="shared" si="4"/>
        <v>20</v>
      </c>
      <c r="AF7" s="102" t="str">
        <f t="shared" si="1"/>
        <v>Very High</v>
      </c>
      <c r="AG7" s="50" t="s">
        <v>88</v>
      </c>
      <c r="AH7" s="51">
        <v>1</v>
      </c>
      <c r="AI7" s="137"/>
      <c r="AJ7" s="49"/>
      <c r="AK7" s="49"/>
      <c r="AL7" s="101" t="str">
        <f t="shared" si="2"/>
        <v>Very Low</v>
      </c>
      <c r="AM7" s="49">
        <v>1</v>
      </c>
      <c r="AN7" s="101" t="str">
        <f t="shared" si="5"/>
        <v>Very Low</v>
      </c>
      <c r="AO7" s="101">
        <f t="shared" si="6"/>
        <v>1</v>
      </c>
      <c r="AP7" s="101" t="str">
        <f t="shared" si="3"/>
        <v>Very Low</v>
      </c>
      <c r="AQ7" s="49" t="s">
        <v>89</v>
      </c>
      <c r="AR7" s="49" t="s">
        <v>126</v>
      </c>
      <c r="AS7" s="49" t="s">
        <v>91</v>
      </c>
      <c r="AT7" s="147">
        <v>45869</v>
      </c>
      <c r="AU7" s="53" t="s">
        <v>102</v>
      </c>
      <c r="AV7" s="52">
        <v>45721</v>
      </c>
      <c r="AW7" s="54" t="s">
        <v>103</v>
      </c>
    </row>
    <row r="8" spans="1:49" s="3" customFormat="1" ht="105" x14ac:dyDescent="0.2">
      <c r="A8" s="49">
        <v>6</v>
      </c>
      <c r="B8" s="49" t="s">
        <v>127</v>
      </c>
      <c r="C8" s="49" t="s">
        <v>25</v>
      </c>
      <c r="D8" s="49" t="s">
        <v>128</v>
      </c>
      <c r="E8" s="49" t="s">
        <v>129</v>
      </c>
      <c r="F8" s="49" t="s">
        <v>130</v>
      </c>
      <c r="G8" s="49" t="s">
        <v>131</v>
      </c>
      <c r="H8" s="49" t="s">
        <v>132</v>
      </c>
      <c r="I8" s="49" t="s">
        <v>133</v>
      </c>
      <c r="J8" s="49" t="s">
        <v>134</v>
      </c>
      <c r="K8" s="49" t="s">
        <v>134</v>
      </c>
      <c r="L8" s="49" t="s">
        <v>135</v>
      </c>
      <c r="M8" s="49" t="s">
        <v>136</v>
      </c>
      <c r="N8" s="49" t="s">
        <v>137</v>
      </c>
      <c r="O8" s="49" t="s">
        <v>85</v>
      </c>
      <c r="P8" s="49" t="s">
        <v>86</v>
      </c>
      <c r="Q8" s="49"/>
      <c r="R8" s="49">
        <v>3</v>
      </c>
      <c r="S8" s="49">
        <v>3</v>
      </c>
      <c r="T8" s="49">
        <v>2</v>
      </c>
      <c r="U8" s="49">
        <v>3</v>
      </c>
      <c r="V8" s="49">
        <v>3</v>
      </c>
      <c r="W8" s="49">
        <v>1</v>
      </c>
      <c r="X8" s="49">
        <v>2</v>
      </c>
      <c r="Y8" s="49">
        <v>1</v>
      </c>
      <c r="Z8" s="49">
        <v>3</v>
      </c>
      <c r="AA8" s="114">
        <f t="shared" si="7"/>
        <v>3</v>
      </c>
      <c r="AB8" s="101" t="s">
        <v>109</v>
      </c>
      <c r="AC8" s="49">
        <v>2</v>
      </c>
      <c r="AD8" s="101" t="str">
        <f t="shared" si="0"/>
        <v>Low</v>
      </c>
      <c r="AE8" s="101">
        <f t="shared" si="4"/>
        <v>6</v>
      </c>
      <c r="AF8" s="102" t="str">
        <f t="shared" si="1"/>
        <v>Very Low</v>
      </c>
      <c r="AG8" s="50" t="s">
        <v>88</v>
      </c>
      <c r="AH8" s="51">
        <v>2</v>
      </c>
      <c r="AI8" s="137"/>
      <c r="AJ8" s="49"/>
      <c r="AK8" s="49"/>
      <c r="AL8" s="101" t="str">
        <f t="shared" si="2"/>
        <v>Low</v>
      </c>
      <c r="AM8" s="49">
        <v>1</v>
      </c>
      <c r="AN8" s="101" t="str">
        <f t="shared" si="5"/>
        <v>Very Low</v>
      </c>
      <c r="AO8" s="101">
        <f t="shared" si="6"/>
        <v>2</v>
      </c>
      <c r="AP8" s="101" t="str">
        <f t="shared" si="3"/>
        <v>Very Low</v>
      </c>
      <c r="AQ8" s="49" t="s">
        <v>89</v>
      </c>
      <c r="AR8" s="49" t="s">
        <v>138</v>
      </c>
      <c r="AS8" s="49" t="s">
        <v>139</v>
      </c>
      <c r="AT8" s="55">
        <v>45657</v>
      </c>
      <c r="AU8" s="53" t="s">
        <v>140</v>
      </c>
      <c r="AV8" s="52">
        <v>45720</v>
      </c>
      <c r="AW8" s="54"/>
    </row>
    <row r="9" spans="1:49" s="3" customFormat="1" ht="78.75" x14ac:dyDescent="0.2">
      <c r="A9" s="49">
        <v>7</v>
      </c>
      <c r="B9" s="49" t="s">
        <v>141</v>
      </c>
      <c r="C9" s="49" t="s">
        <v>18</v>
      </c>
      <c r="D9" s="49" t="s">
        <v>142</v>
      </c>
      <c r="E9" s="49" t="s">
        <v>143</v>
      </c>
      <c r="F9" s="49" t="s">
        <v>144</v>
      </c>
      <c r="G9" s="49" t="s">
        <v>131</v>
      </c>
      <c r="H9" s="49" t="s">
        <v>145</v>
      </c>
      <c r="I9" s="49" t="s">
        <v>146</v>
      </c>
      <c r="J9" s="49" t="s">
        <v>147</v>
      </c>
      <c r="K9" s="49" t="s">
        <v>147</v>
      </c>
      <c r="L9" s="49" t="s">
        <v>148</v>
      </c>
      <c r="M9" s="49" t="s">
        <v>149</v>
      </c>
      <c r="N9" s="49" t="s">
        <v>137</v>
      </c>
      <c r="O9" s="49" t="s">
        <v>85</v>
      </c>
      <c r="P9" s="49" t="s">
        <v>86</v>
      </c>
      <c r="Q9" s="49"/>
      <c r="R9" s="49">
        <v>1</v>
      </c>
      <c r="S9" s="49">
        <v>1</v>
      </c>
      <c r="T9" s="49">
        <v>1</v>
      </c>
      <c r="U9" s="49">
        <v>3</v>
      </c>
      <c r="V9" s="49">
        <v>1</v>
      </c>
      <c r="W9" s="49">
        <v>1</v>
      </c>
      <c r="X9" s="49">
        <v>1</v>
      </c>
      <c r="Y9" s="49">
        <v>1</v>
      </c>
      <c r="Z9" s="49">
        <v>1</v>
      </c>
      <c r="AA9" s="114">
        <f t="shared" si="7"/>
        <v>3</v>
      </c>
      <c r="AB9" s="101" t="s">
        <v>109</v>
      </c>
      <c r="AC9" s="49">
        <v>2</v>
      </c>
      <c r="AD9" s="101" t="str">
        <f t="shared" si="0"/>
        <v>Low</v>
      </c>
      <c r="AE9" s="101">
        <f t="shared" si="4"/>
        <v>6</v>
      </c>
      <c r="AF9" s="102" t="str">
        <f t="shared" si="1"/>
        <v>Very Low</v>
      </c>
      <c r="AG9" s="50" t="s">
        <v>150</v>
      </c>
      <c r="AH9" s="51">
        <v>2</v>
      </c>
      <c r="AI9" s="137"/>
      <c r="AJ9" s="49"/>
      <c r="AK9" s="49"/>
      <c r="AL9" s="101" t="str">
        <f t="shared" si="2"/>
        <v>Low</v>
      </c>
      <c r="AM9" s="49">
        <v>1</v>
      </c>
      <c r="AN9" s="101" t="str">
        <f t="shared" si="5"/>
        <v>Very Low</v>
      </c>
      <c r="AO9" s="101">
        <f t="shared" si="6"/>
        <v>2</v>
      </c>
      <c r="AP9" s="101" t="str">
        <f t="shared" si="3"/>
        <v>Very Low</v>
      </c>
      <c r="AQ9" s="49" t="s">
        <v>89</v>
      </c>
      <c r="AR9" s="49" t="s">
        <v>151</v>
      </c>
      <c r="AS9" s="49" t="s">
        <v>139</v>
      </c>
      <c r="AT9" s="55">
        <v>45657</v>
      </c>
      <c r="AU9" s="53" t="s">
        <v>140</v>
      </c>
      <c r="AV9" s="52">
        <v>45725</v>
      </c>
      <c r="AW9" s="159" t="s">
        <v>152</v>
      </c>
    </row>
    <row r="10" spans="1:49" s="3" customFormat="1" ht="45" x14ac:dyDescent="0.2">
      <c r="A10" s="49">
        <v>8</v>
      </c>
      <c r="B10" s="49" t="s">
        <v>153</v>
      </c>
      <c r="C10" s="49" t="s">
        <v>18</v>
      </c>
      <c r="D10" s="49" t="s">
        <v>154</v>
      </c>
      <c r="E10" s="49" t="s">
        <v>155</v>
      </c>
      <c r="F10" s="49" t="s">
        <v>144</v>
      </c>
      <c r="G10" s="49" t="s">
        <v>131</v>
      </c>
      <c r="H10" s="49" t="s">
        <v>156</v>
      </c>
      <c r="I10" s="158" t="s">
        <v>157</v>
      </c>
      <c r="J10" s="49" t="s">
        <v>147</v>
      </c>
      <c r="K10" s="49" t="s">
        <v>147</v>
      </c>
      <c r="L10" s="49" t="s">
        <v>158</v>
      </c>
      <c r="M10" s="49" t="s">
        <v>159</v>
      </c>
      <c r="N10" s="49" t="s">
        <v>137</v>
      </c>
      <c r="O10" s="49" t="s">
        <v>85</v>
      </c>
      <c r="P10" s="49" t="s">
        <v>86</v>
      </c>
      <c r="Q10" s="49"/>
      <c r="R10" s="49">
        <v>2</v>
      </c>
      <c r="S10" s="49">
        <v>1</v>
      </c>
      <c r="T10" s="49">
        <v>1</v>
      </c>
      <c r="U10" s="49">
        <v>3</v>
      </c>
      <c r="V10" s="49">
        <v>1</v>
      </c>
      <c r="W10" s="49">
        <v>1</v>
      </c>
      <c r="X10" s="49">
        <v>1</v>
      </c>
      <c r="Y10" s="49">
        <v>3</v>
      </c>
      <c r="Z10" s="49">
        <v>3</v>
      </c>
      <c r="AA10" s="114">
        <f t="shared" si="7"/>
        <v>3</v>
      </c>
      <c r="AB10" s="101" t="s">
        <v>109</v>
      </c>
      <c r="AC10" s="49">
        <v>3</v>
      </c>
      <c r="AD10" s="101" t="str">
        <f t="shared" si="0"/>
        <v>Medium</v>
      </c>
      <c r="AE10" s="101">
        <f t="shared" si="4"/>
        <v>9</v>
      </c>
      <c r="AF10" s="102" t="str">
        <f t="shared" si="1"/>
        <v>Low</v>
      </c>
      <c r="AG10" s="50" t="s">
        <v>150</v>
      </c>
      <c r="AH10" s="51">
        <v>2</v>
      </c>
      <c r="AI10" s="137"/>
      <c r="AJ10" s="49"/>
      <c r="AK10" s="49"/>
      <c r="AL10" s="101" t="str">
        <f t="shared" si="2"/>
        <v>Low</v>
      </c>
      <c r="AM10" s="49">
        <v>1</v>
      </c>
      <c r="AN10" s="101" t="str">
        <f t="shared" si="5"/>
        <v>Very Low</v>
      </c>
      <c r="AO10" s="101">
        <f t="shared" si="6"/>
        <v>2</v>
      </c>
      <c r="AP10" s="101" t="str">
        <f t="shared" si="3"/>
        <v>Very Low</v>
      </c>
      <c r="AQ10" s="49" t="s">
        <v>89</v>
      </c>
      <c r="AR10" s="49" t="s">
        <v>160</v>
      </c>
      <c r="AS10" s="49" t="s">
        <v>139</v>
      </c>
      <c r="AT10" s="55">
        <v>45657</v>
      </c>
      <c r="AU10" s="157" t="s">
        <v>161</v>
      </c>
      <c r="AV10" s="52">
        <v>45725</v>
      </c>
      <c r="AW10" s="160" t="s">
        <v>162</v>
      </c>
    </row>
    <row r="11" spans="1:49" s="3" customFormat="1" ht="75" x14ac:dyDescent="0.2">
      <c r="A11" s="49">
        <v>9</v>
      </c>
      <c r="B11" s="49" t="s">
        <v>163</v>
      </c>
      <c r="C11" s="49" t="s">
        <v>164</v>
      </c>
      <c r="D11" s="49" t="s">
        <v>165</v>
      </c>
      <c r="E11" s="49" t="s">
        <v>166</v>
      </c>
      <c r="F11" s="49" t="s">
        <v>144</v>
      </c>
      <c r="G11" s="49" t="s">
        <v>131</v>
      </c>
      <c r="H11" s="49" t="s">
        <v>167</v>
      </c>
      <c r="I11" s="49" t="s">
        <v>168</v>
      </c>
      <c r="J11" s="49" t="s">
        <v>147</v>
      </c>
      <c r="K11" s="49" t="s">
        <v>147</v>
      </c>
      <c r="L11" s="49" t="s">
        <v>169</v>
      </c>
      <c r="M11" s="49" t="s">
        <v>170</v>
      </c>
      <c r="N11" s="49" t="s">
        <v>137</v>
      </c>
      <c r="O11" s="49" t="s">
        <v>85</v>
      </c>
      <c r="P11" s="49" t="s">
        <v>86</v>
      </c>
      <c r="Q11" s="49"/>
      <c r="R11" s="49">
        <v>2</v>
      </c>
      <c r="S11" s="49">
        <v>1</v>
      </c>
      <c r="T11" s="49">
        <v>1</v>
      </c>
      <c r="U11" s="49">
        <v>1</v>
      </c>
      <c r="V11" s="49">
        <v>1</v>
      </c>
      <c r="W11" s="49">
        <v>1</v>
      </c>
      <c r="X11" s="49">
        <v>2</v>
      </c>
      <c r="Y11" s="49">
        <v>1</v>
      </c>
      <c r="Z11" s="49">
        <v>1</v>
      </c>
      <c r="AA11" s="114">
        <f t="shared" si="7"/>
        <v>2</v>
      </c>
      <c r="AB11" s="101" t="s">
        <v>118</v>
      </c>
      <c r="AC11" s="49">
        <v>1</v>
      </c>
      <c r="AD11" s="101" t="str">
        <f t="shared" si="0"/>
        <v>Very Low</v>
      </c>
      <c r="AE11" s="101">
        <f t="shared" si="4"/>
        <v>2</v>
      </c>
      <c r="AF11" s="102" t="str">
        <f t="shared" si="1"/>
        <v>Very Low</v>
      </c>
      <c r="AG11" s="50" t="s">
        <v>150</v>
      </c>
      <c r="AH11" s="51">
        <v>1</v>
      </c>
      <c r="AI11" s="137"/>
      <c r="AJ11" s="49"/>
      <c r="AK11" s="49"/>
      <c r="AL11" s="101" t="str">
        <f t="shared" si="2"/>
        <v>Very Low</v>
      </c>
      <c r="AM11" s="49">
        <v>1</v>
      </c>
      <c r="AN11" s="101" t="str">
        <f t="shared" si="5"/>
        <v>Very Low</v>
      </c>
      <c r="AO11" s="101">
        <f t="shared" si="6"/>
        <v>1</v>
      </c>
      <c r="AP11" s="101" t="str">
        <f t="shared" si="3"/>
        <v>Very Low</v>
      </c>
      <c r="AQ11" s="49" t="s">
        <v>89</v>
      </c>
      <c r="AR11" s="49" t="s">
        <v>171</v>
      </c>
      <c r="AS11" s="49" t="s">
        <v>139</v>
      </c>
      <c r="AT11" s="55">
        <v>45657</v>
      </c>
      <c r="AU11" s="53" t="s">
        <v>102</v>
      </c>
      <c r="AV11" s="52">
        <v>45725</v>
      </c>
      <c r="AW11" s="160" t="s">
        <v>172</v>
      </c>
    </row>
    <row r="12" spans="1:49" s="3" customFormat="1" ht="60" x14ac:dyDescent="0.2">
      <c r="A12" s="49">
        <v>10</v>
      </c>
      <c r="B12" s="49" t="s">
        <v>173</v>
      </c>
      <c r="C12" s="49" t="s">
        <v>25</v>
      </c>
      <c r="D12" s="49" t="s">
        <v>142</v>
      </c>
      <c r="E12" s="49" t="s">
        <v>174</v>
      </c>
      <c r="F12" s="49" t="s">
        <v>144</v>
      </c>
      <c r="G12" s="49" t="s">
        <v>131</v>
      </c>
      <c r="H12" s="49" t="s">
        <v>175</v>
      </c>
      <c r="I12" s="158" t="s">
        <v>176</v>
      </c>
      <c r="J12" s="49" t="s">
        <v>177</v>
      </c>
      <c r="K12" s="49" t="s">
        <v>177</v>
      </c>
      <c r="L12" s="49" t="s">
        <v>178</v>
      </c>
      <c r="M12" s="49" t="s">
        <v>179</v>
      </c>
      <c r="N12" s="49" t="s">
        <v>137</v>
      </c>
      <c r="O12" s="49" t="s">
        <v>180</v>
      </c>
      <c r="P12" s="49" t="s">
        <v>86</v>
      </c>
      <c r="Q12" s="49"/>
      <c r="R12" s="49">
        <v>3</v>
      </c>
      <c r="S12" s="49">
        <v>1</v>
      </c>
      <c r="T12" s="49">
        <v>1</v>
      </c>
      <c r="U12" s="49">
        <v>1</v>
      </c>
      <c r="V12" s="49">
        <v>1</v>
      </c>
      <c r="W12" s="49">
        <v>1</v>
      </c>
      <c r="X12" s="49">
        <v>1</v>
      </c>
      <c r="Y12" s="49">
        <v>3</v>
      </c>
      <c r="Z12" s="49">
        <v>3</v>
      </c>
      <c r="AA12" s="114">
        <f t="shared" si="7"/>
        <v>3</v>
      </c>
      <c r="AB12" s="101" t="s">
        <v>109</v>
      </c>
      <c r="AC12" s="49">
        <v>3</v>
      </c>
      <c r="AD12" s="101" t="str">
        <f t="shared" si="0"/>
        <v>Medium</v>
      </c>
      <c r="AE12" s="101">
        <f t="shared" si="4"/>
        <v>9</v>
      </c>
      <c r="AF12" s="102" t="str">
        <f t="shared" si="1"/>
        <v>Low</v>
      </c>
      <c r="AG12" s="50" t="s">
        <v>150</v>
      </c>
      <c r="AH12" s="51">
        <v>1</v>
      </c>
      <c r="AI12" s="137"/>
      <c r="AJ12" s="49"/>
      <c r="AK12" s="49"/>
      <c r="AL12" s="101" t="str">
        <f t="shared" si="2"/>
        <v>Very Low</v>
      </c>
      <c r="AM12" s="49">
        <v>1</v>
      </c>
      <c r="AN12" s="101" t="str">
        <f t="shared" si="5"/>
        <v>Very Low</v>
      </c>
      <c r="AO12" s="101">
        <f t="shared" si="6"/>
        <v>1</v>
      </c>
      <c r="AP12" s="101" t="str">
        <f t="shared" si="3"/>
        <v>Very Low</v>
      </c>
      <c r="AQ12" s="49" t="s">
        <v>89</v>
      </c>
      <c r="AR12" s="49" t="s">
        <v>181</v>
      </c>
      <c r="AS12" s="49" t="s">
        <v>139</v>
      </c>
      <c r="AT12" s="55">
        <v>45657</v>
      </c>
      <c r="AU12" s="157" t="s">
        <v>161</v>
      </c>
      <c r="AV12" s="52">
        <v>45725</v>
      </c>
      <c r="AW12" s="160" t="s">
        <v>182</v>
      </c>
    </row>
    <row r="13" spans="1:49" s="3" customFormat="1" ht="60" x14ac:dyDescent="0.2">
      <c r="A13" s="49">
        <v>11</v>
      </c>
      <c r="B13" s="49" t="s">
        <v>183</v>
      </c>
      <c r="C13" s="49" t="s">
        <v>184</v>
      </c>
      <c r="D13" s="49" t="s">
        <v>185</v>
      </c>
      <c r="E13" s="49" t="s">
        <v>186</v>
      </c>
      <c r="F13" s="49" t="s">
        <v>187</v>
      </c>
      <c r="G13" s="49" t="s">
        <v>131</v>
      </c>
      <c r="H13" s="49" t="s">
        <v>188</v>
      </c>
      <c r="I13" s="49" t="s">
        <v>189</v>
      </c>
      <c r="J13" s="49" t="s">
        <v>190</v>
      </c>
      <c r="K13" s="49" t="s">
        <v>191</v>
      </c>
      <c r="L13" s="49" t="s">
        <v>192</v>
      </c>
      <c r="M13" s="49" t="s">
        <v>193</v>
      </c>
      <c r="N13" s="49"/>
      <c r="O13" s="49" t="s">
        <v>194</v>
      </c>
      <c r="P13" s="49" t="s">
        <v>86</v>
      </c>
      <c r="Q13" s="49"/>
      <c r="R13" s="49">
        <v>1</v>
      </c>
      <c r="S13" s="49">
        <v>2</v>
      </c>
      <c r="T13" s="49">
        <v>1</v>
      </c>
      <c r="U13" s="49">
        <v>3</v>
      </c>
      <c r="V13" s="49">
        <v>1</v>
      </c>
      <c r="W13" s="49">
        <v>3</v>
      </c>
      <c r="X13" s="49">
        <v>2</v>
      </c>
      <c r="Y13" s="49">
        <v>2</v>
      </c>
      <c r="Z13" s="49">
        <v>2</v>
      </c>
      <c r="AA13" s="114">
        <f t="shared" si="7"/>
        <v>3</v>
      </c>
      <c r="AB13" s="101" t="s">
        <v>109</v>
      </c>
      <c r="AC13" s="49">
        <v>3</v>
      </c>
      <c r="AD13" s="101" t="str">
        <f t="shared" si="0"/>
        <v>Medium</v>
      </c>
      <c r="AE13" s="101">
        <f t="shared" si="4"/>
        <v>9</v>
      </c>
      <c r="AF13" s="102" t="str">
        <f t="shared" si="1"/>
        <v>Low</v>
      </c>
      <c r="AG13" s="50" t="s">
        <v>150</v>
      </c>
      <c r="AH13" s="51">
        <v>1</v>
      </c>
      <c r="AI13" s="137"/>
      <c r="AJ13" s="49"/>
      <c r="AK13" s="49"/>
      <c r="AL13" s="101" t="str">
        <f t="shared" si="2"/>
        <v>Very Low</v>
      </c>
      <c r="AM13" s="49">
        <v>2</v>
      </c>
      <c r="AN13" s="101" t="str">
        <f t="shared" si="5"/>
        <v>Low</v>
      </c>
      <c r="AO13" s="101">
        <f t="shared" si="6"/>
        <v>2</v>
      </c>
      <c r="AP13" s="101" t="str">
        <f t="shared" si="3"/>
        <v>Very Low</v>
      </c>
      <c r="AQ13" s="49" t="s">
        <v>89</v>
      </c>
      <c r="AR13" s="49" t="s">
        <v>195</v>
      </c>
      <c r="AS13" s="49" t="s">
        <v>190</v>
      </c>
      <c r="AT13" s="55">
        <v>45657</v>
      </c>
      <c r="AU13" s="53" t="s">
        <v>140</v>
      </c>
      <c r="AV13" s="52">
        <v>45720</v>
      </c>
      <c r="AW13" s="54"/>
    </row>
    <row r="14" spans="1:49" s="3" customFormat="1" ht="45" x14ac:dyDescent="0.2">
      <c r="A14" s="49">
        <v>12</v>
      </c>
      <c r="B14" s="49" t="s">
        <v>196</v>
      </c>
      <c r="C14" s="49" t="s">
        <v>197</v>
      </c>
      <c r="D14" s="49" t="s">
        <v>185</v>
      </c>
      <c r="E14" s="49" t="s">
        <v>186</v>
      </c>
      <c r="F14" s="49" t="s">
        <v>187</v>
      </c>
      <c r="G14" s="49" t="s">
        <v>131</v>
      </c>
      <c r="H14" s="49" t="s">
        <v>198</v>
      </c>
      <c r="I14" s="49" t="s">
        <v>199</v>
      </c>
      <c r="J14" s="49" t="s">
        <v>190</v>
      </c>
      <c r="K14" s="49" t="s">
        <v>191</v>
      </c>
      <c r="L14" s="49" t="s">
        <v>200</v>
      </c>
      <c r="M14" s="49" t="s">
        <v>193</v>
      </c>
      <c r="N14" s="49"/>
      <c r="O14" s="49" t="s">
        <v>194</v>
      </c>
      <c r="P14" s="49" t="s">
        <v>86</v>
      </c>
      <c r="Q14" s="49"/>
      <c r="R14" s="49">
        <v>1</v>
      </c>
      <c r="S14" s="49">
        <v>3</v>
      </c>
      <c r="T14" s="49">
        <v>1</v>
      </c>
      <c r="U14" s="49">
        <v>3</v>
      </c>
      <c r="V14" s="49">
        <v>4</v>
      </c>
      <c r="W14" s="49">
        <v>2</v>
      </c>
      <c r="X14" s="49">
        <v>2</v>
      </c>
      <c r="Y14" s="49">
        <v>2</v>
      </c>
      <c r="Z14" s="49">
        <v>2</v>
      </c>
      <c r="AA14" s="114">
        <f t="shared" si="7"/>
        <v>4</v>
      </c>
      <c r="AB14" s="101" t="s">
        <v>87</v>
      </c>
      <c r="AC14" s="49">
        <v>3</v>
      </c>
      <c r="AD14" s="101" t="str">
        <f t="shared" si="0"/>
        <v>Medium</v>
      </c>
      <c r="AE14" s="101">
        <f t="shared" si="4"/>
        <v>12</v>
      </c>
      <c r="AF14" s="102" t="str">
        <f t="shared" si="1"/>
        <v>Medium</v>
      </c>
      <c r="AG14" s="50" t="s">
        <v>150</v>
      </c>
      <c r="AH14" s="51">
        <v>2</v>
      </c>
      <c r="AI14" s="137"/>
      <c r="AJ14" s="49"/>
      <c r="AK14" s="49"/>
      <c r="AL14" s="101" t="str">
        <f t="shared" si="2"/>
        <v>Low</v>
      </c>
      <c r="AM14" s="49">
        <v>2</v>
      </c>
      <c r="AN14" s="101" t="str">
        <f t="shared" si="5"/>
        <v>Low</v>
      </c>
      <c r="AO14" s="101">
        <v>1</v>
      </c>
      <c r="AP14" s="101" t="str">
        <f t="shared" si="3"/>
        <v>Very Low</v>
      </c>
      <c r="AQ14" s="49" t="s">
        <v>89</v>
      </c>
      <c r="AR14" s="49" t="s">
        <v>201</v>
      </c>
      <c r="AS14" s="49" t="s">
        <v>190</v>
      </c>
      <c r="AT14" s="55">
        <v>45657</v>
      </c>
      <c r="AU14" s="53" t="s">
        <v>140</v>
      </c>
      <c r="AV14" s="52">
        <v>45720</v>
      </c>
      <c r="AW14" s="54"/>
    </row>
    <row r="15" spans="1:49" s="3" customFormat="1" ht="45" x14ac:dyDescent="0.2">
      <c r="A15" s="49">
        <v>13</v>
      </c>
      <c r="B15" s="49" t="s">
        <v>202</v>
      </c>
      <c r="C15" s="49" t="s">
        <v>184</v>
      </c>
      <c r="D15" s="49" t="s">
        <v>185</v>
      </c>
      <c r="E15" s="49" t="s">
        <v>186</v>
      </c>
      <c r="F15" s="49" t="s">
        <v>187</v>
      </c>
      <c r="G15" s="49" t="s">
        <v>131</v>
      </c>
      <c r="H15" s="49" t="s">
        <v>188</v>
      </c>
      <c r="I15" s="49" t="s">
        <v>203</v>
      </c>
      <c r="J15" s="49" t="s">
        <v>190</v>
      </c>
      <c r="K15" s="49" t="s">
        <v>191</v>
      </c>
      <c r="L15" s="49" t="s">
        <v>204</v>
      </c>
      <c r="M15" s="49" t="s">
        <v>193</v>
      </c>
      <c r="N15" s="49"/>
      <c r="O15" s="49" t="s">
        <v>194</v>
      </c>
      <c r="P15" s="49" t="s">
        <v>86</v>
      </c>
      <c r="Q15" s="49"/>
      <c r="R15" s="49">
        <v>2</v>
      </c>
      <c r="S15" s="49">
        <v>3</v>
      </c>
      <c r="T15" s="49">
        <v>1</v>
      </c>
      <c r="U15" s="49">
        <v>3</v>
      </c>
      <c r="V15" s="49">
        <v>4</v>
      </c>
      <c r="W15" s="49">
        <v>3</v>
      </c>
      <c r="X15" s="49">
        <v>2</v>
      </c>
      <c r="Y15" s="49">
        <v>2</v>
      </c>
      <c r="Z15" s="49">
        <v>2</v>
      </c>
      <c r="AA15" s="114">
        <f t="shared" si="7"/>
        <v>4</v>
      </c>
      <c r="AB15" s="101" t="s">
        <v>87</v>
      </c>
      <c r="AC15" s="49">
        <v>3</v>
      </c>
      <c r="AD15" s="101" t="str">
        <f t="shared" si="0"/>
        <v>Medium</v>
      </c>
      <c r="AE15" s="101">
        <f t="shared" si="4"/>
        <v>12</v>
      </c>
      <c r="AF15" s="102" t="str">
        <f t="shared" si="1"/>
        <v>Medium</v>
      </c>
      <c r="AG15" s="50" t="s">
        <v>150</v>
      </c>
      <c r="AH15" s="51">
        <v>3</v>
      </c>
      <c r="AI15" s="137"/>
      <c r="AJ15" s="49"/>
      <c r="AK15" s="49"/>
      <c r="AL15" s="101" t="str">
        <f t="shared" si="2"/>
        <v>Medium</v>
      </c>
      <c r="AM15" s="49">
        <v>2</v>
      </c>
      <c r="AN15" s="101" t="str">
        <f t="shared" si="5"/>
        <v>Low</v>
      </c>
      <c r="AO15" s="101">
        <v>2</v>
      </c>
      <c r="AP15" s="101" t="str">
        <f t="shared" si="3"/>
        <v>Very Low</v>
      </c>
      <c r="AQ15" s="49" t="s">
        <v>89</v>
      </c>
      <c r="AR15" s="49" t="s">
        <v>205</v>
      </c>
      <c r="AS15" s="49" t="s">
        <v>190</v>
      </c>
      <c r="AT15" s="55">
        <v>45657</v>
      </c>
      <c r="AU15" s="53" t="s">
        <v>140</v>
      </c>
      <c r="AV15" s="52">
        <v>45720</v>
      </c>
      <c r="AW15" s="54"/>
    </row>
    <row r="16" spans="1:49" s="3" customFormat="1" ht="45" x14ac:dyDescent="0.2">
      <c r="A16" s="49">
        <v>14</v>
      </c>
      <c r="B16" s="49" t="s">
        <v>206</v>
      </c>
      <c r="C16" s="49" t="s">
        <v>197</v>
      </c>
      <c r="D16" s="49" t="s">
        <v>185</v>
      </c>
      <c r="E16" s="49" t="s">
        <v>186</v>
      </c>
      <c r="F16" s="49" t="s">
        <v>187</v>
      </c>
      <c r="G16" s="49" t="s">
        <v>131</v>
      </c>
      <c r="H16" s="49" t="s">
        <v>207</v>
      </c>
      <c r="I16" s="49" t="s">
        <v>208</v>
      </c>
      <c r="J16" s="49" t="s">
        <v>190</v>
      </c>
      <c r="K16" s="49" t="s">
        <v>191</v>
      </c>
      <c r="L16" s="49" t="s">
        <v>200</v>
      </c>
      <c r="M16" s="49" t="s">
        <v>209</v>
      </c>
      <c r="N16" s="49"/>
      <c r="O16" s="49" t="s">
        <v>194</v>
      </c>
      <c r="P16" s="49" t="s">
        <v>86</v>
      </c>
      <c r="Q16" s="49"/>
      <c r="R16" s="49">
        <v>3</v>
      </c>
      <c r="S16" s="49">
        <v>3</v>
      </c>
      <c r="T16" s="49">
        <v>1</v>
      </c>
      <c r="U16" s="49">
        <v>3</v>
      </c>
      <c r="V16" s="49">
        <v>4</v>
      </c>
      <c r="W16" s="49">
        <v>3</v>
      </c>
      <c r="X16" s="49">
        <v>3</v>
      </c>
      <c r="Y16" s="49">
        <v>3</v>
      </c>
      <c r="Z16" s="49">
        <v>2</v>
      </c>
      <c r="AA16" s="114">
        <f t="shared" si="7"/>
        <v>4</v>
      </c>
      <c r="AB16" s="101" t="s">
        <v>87</v>
      </c>
      <c r="AC16" s="49">
        <v>3</v>
      </c>
      <c r="AD16" s="101" t="str">
        <f t="shared" si="0"/>
        <v>Medium</v>
      </c>
      <c r="AE16" s="101">
        <f t="shared" si="4"/>
        <v>12</v>
      </c>
      <c r="AF16" s="102" t="str">
        <f t="shared" si="1"/>
        <v>Medium</v>
      </c>
      <c r="AG16" s="50" t="s">
        <v>150</v>
      </c>
      <c r="AH16" s="51">
        <v>3</v>
      </c>
      <c r="AI16" s="137"/>
      <c r="AJ16" s="49"/>
      <c r="AK16" s="49"/>
      <c r="AL16" s="101" t="str">
        <f t="shared" si="2"/>
        <v>Medium</v>
      </c>
      <c r="AM16" s="49">
        <v>2</v>
      </c>
      <c r="AN16" s="101" t="str">
        <f t="shared" si="5"/>
        <v>Low</v>
      </c>
      <c r="AO16" s="101">
        <v>2</v>
      </c>
      <c r="AP16" s="101" t="str">
        <f t="shared" si="3"/>
        <v>Very Low</v>
      </c>
      <c r="AQ16" s="49" t="s">
        <v>89</v>
      </c>
      <c r="AR16" s="49" t="s">
        <v>210</v>
      </c>
      <c r="AS16" s="49" t="s">
        <v>190</v>
      </c>
      <c r="AT16" s="55">
        <v>45657</v>
      </c>
      <c r="AU16" s="53" t="s">
        <v>140</v>
      </c>
      <c r="AV16" s="52">
        <v>45720</v>
      </c>
      <c r="AW16" s="54"/>
    </row>
    <row r="17" spans="1:49" s="3" customFormat="1" ht="45" x14ac:dyDescent="0.2">
      <c r="A17" s="49">
        <v>15</v>
      </c>
      <c r="B17" s="49" t="s">
        <v>211</v>
      </c>
      <c r="C17" s="49" t="s">
        <v>212</v>
      </c>
      <c r="D17" s="49" t="s">
        <v>185</v>
      </c>
      <c r="E17" s="49" t="s">
        <v>186</v>
      </c>
      <c r="F17" s="49" t="s">
        <v>187</v>
      </c>
      <c r="G17" s="49" t="s">
        <v>131</v>
      </c>
      <c r="H17" s="49" t="s">
        <v>213</v>
      </c>
      <c r="I17" s="49" t="s">
        <v>214</v>
      </c>
      <c r="J17" s="49" t="s">
        <v>190</v>
      </c>
      <c r="K17" s="49" t="s">
        <v>191</v>
      </c>
      <c r="L17" s="49" t="s">
        <v>200</v>
      </c>
      <c r="M17" s="49" t="s">
        <v>215</v>
      </c>
      <c r="N17" s="49"/>
      <c r="O17" s="49" t="s">
        <v>194</v>
      </c>
      <c r="P17" s="49" t="s">
        <v>86</v>
      </c>
      <c r="Q17" s="49"/>
      <c r="R17" s="49">
        <v>3</v>
      </c>
      <c r="S17" s="49">
        <v>3</v>
      </c>
      <c r="T17" s="49">
        <v>1</v>
      </c>
      <c r="U17" s="49">
        <v>3</v>
      </c>
      <c r="V17" s="49">
        <v>4</v>
      </c>
      <c r="W17" s="49">
        <v>3</v>
      </c>
      <c r="X17" s="49">
        <v>3</v>
      </c>
      <c r="Y17" s="49">
        <v>3</v>
      </c>
      <c r="Z17" s="49">
        <v>3</v>
      </c>
      <c r="AA17" s="114">
        <f t="shared" si="7"/>
        <v>4</v>
      </c>
      <c r="AB17" s="101" t="s">
        <v>87</v>
      </c>
      <c r="AC17" s="49">
        <v>3</v>
      </c>
      <c r="AD17" s="101" t="str">
        <f t="shared" si="0"/>
        <v>Medium</v>
      </c>
      <c r="AE17" s="101">
        <f t="shared" si="4"/>
        <v>12</v>
      </c>
      <c r="AF17" s="102" t="str">
        <f t="shared" si="1"/>
        <v>Medium</v>
      </c>
      <c r="AG17" s="50" t="s">
        <v>150</v>
      </c>
      <c r="AH17" s="51">
        <v>3</v>
      </c>
      <c r="AI17" s="137"/>
      <c r="AJ17" s="49"/>
      <c r="AK17" s="49"/>
      <c r="AL17" s="101" t="str">
        <f t="shared" si="2"/>
        <v>Medium</v>
      </c>
      <c r="AM17" s="49">
        <v>1</v>
      </c>
      <c r="AN17" s="101" t="str">
        <f t="shared" si="5"/>
        <v>Very Low</v>
      </c>
      <c r="AO17" s="101">
        <v>2</v>
      </c>
      <c r="AP17" s="101" t="str">
        <f t="shared" si="3"/>
        <v>Very Low</v>
      </c>
      <c r="AQ17" s="49" t="s">
        <v>89</v>
      </c>
      <c r="AR17" s="49" t="s">
        <v>216</v>
      </c>
      <c r="AS17" s="49" t="s">
        <v>190</v>
      </c>
      <c r="AT17" s="55">
        <v>45657</v>
      </c>
      <c r="AU17" s="53" t="s">
        <v>140</v>
      </c>
      <c r="AV17" s="52">
        <v>45720</v>
      </c>
      <c r="AW17" s="54"/>
    </row>
    <row r="18" spans="1:49" s="3" customFormat="1" ht="45" x14ac:dyDescent="0.2">
      <c r="A18" s="49">
        <v>16</v>
      </c>
      <c r="B18" s="49" t="s">
        <v>217</v>
      </c>
      <c r="C18" s="49" t="s">
        <v>197</v>
      </c>
      <c r="D18" s="49" t="s">
        <v>185</v>
      </c>
      <c r="E18" s="49" t="s">
        <v>186</v>
      </c>
      <c r="F18" s="49" t="s">
        <v>187</v>
      </c>
      <c r="G18" s="49" t="s">
        <v>131</v>
      </c>
      <c r="H18" s="49" t="s">
        <v>218</v>
      </c>
      <c r="I18" s="49" t="s">
        <v>218</v>
      </c>
      <c r="J18" s="49" t="s">
        <v>190</v>
      </c>
      <c r="K18" s="49" t="s">
        <v>191</v>
      </c>
      <c r="L18" s="49" t="s">
        <v>200</v>
      </c>
      <c r="M18" s="49" t="s">
        <v>219</v>
      </c>
      <c r="N18" s="49"/>
      <c r="O18" s="49" t="s">
        <v>220</v>
      </c>
      <c r="P18" s="49" t="s">
        <v>86</v>
      </c>
      <c r="Q18" s="49"/>
      <c r="R18" s="49">
        <v>3</v>
      </c>
      <c r="S18" s="49">
        <v>3</v>
      </c>
      <c r="T18" s="49">
        <v>2</v>
      </c>
      <c r="U18" s="49">
        <v>3</v>
      </c>
      <c r="V18" s="49">
        <v>4</v>
      </c>
      <c r="W18" s="49">
        <v>3</v>
      </c>
      <c r="X18" s="49">
        <v>3</v>
      </c>
      <c r="Y18" s="49">
        <v>3</v>
      </c>
      <c r="Z18" s="49">
        <v>4</v>
      </c>
      <c r="AA18" s="114">
        <f t="shared" si="7"/>
        <v>4</v>
      </c>
      <c r="AB18" s="101" t="s">
        <v>87</v>
      </c>
      <c r="AC18" s="49">
        <v>3</v>
      </c>
      <c r="AD18" s="101" t="str">
        <f t="shared" si="0"/>
        <v>Medium</v>
      </c>
      <c r="AE18" s="101">
        <f t="shared" si="4"/>
        <v>12</v>
      </c>
      <c r="AF18" s="102" t="str">
        <f t="shared" si="1"/>
        <v>Medium</v>
      </c>
      <c r="AG18" s="50" t="s">
        <v>150</v>
      </c>
      <c r="AH18" s="51">
        <v>3</v>
      </c>
      <c r="AI18" s="137"/>
      <c r="AJ18" s="49"/>
      <c r="AK18" s="49"/>
      <c r="AL18" s="101" t="str">
        <f t="shared" si="2"/>
        <v>Medium</v>
      </c>
      <c r="AM18" s="49">
        <v>1</v>
      </c>
      <c r="AN18" s="101" t="str">
        <f t="shared" si="5"/>
        <v>Very Low</v>
      </c>
      <c r="AO18" s="101">
        <v>2</v>
      </c>
      <c r="AP18" s="101" t="str">
        <f t="shared" si="3"/>
        <v>Very Low</v>
      </c>
      <c r="AQ18" s="49" t="s">
        <v>89</v>
      </c>
      <c r="AR18" s="49" t="s">
        <v>219</v>
      </c>
      <c r="AS18" s="49" t="s">
        <v>190</v>
      </c>
      <c r="AT18" s="55">
        <v>45657</v>
      </c>
      <c r="AU18" s="53" t="s">
        <v>140</v>
      </c>
      <c r="AV18" s="52">
        <v>45720</v>
      </c>
      <c r="AW18" s="54"/>
    </row>
    <row r="19" spans="1:49" s="3" customFormat="1" ht="45" x14ac:dyDescent="0.2">
      <c r="A19" s="49">
        <v>17</v>
      </c>
      <c r="B19" s="49" t="s">
        <v>221</v>
      </c>
      <c r="C19" s="49" t="s">
        <v>197</v>
      </c>
      <c r="D19" s="49" t="s">
        <v>185</v>
      </c>
      <c r="E19" s="49" t="s">
        <v>186</v>
      </c>
      <c r="F19" s="49" t="s">
        <v>187</v>
      </c>
      <c r="G19" s="49" t="s">
        <v>131</v>
      </c>
      <c r="H19" s="49" t="s">
        <v>222</v>
      </c>
      <c r="I19" s="49" t="s">
        <v>222</v>
      </c>
      <c r="J19" s="49" t="s">
        <v>190</v>
      </c>
      <c r="K19" s="49" t="s">
        <v>191</v>
      </c>
      <c r="L19" s="49" t="s">
        <v>200</v>
      </c>
      <c r="M19" s="49" t="s">
        <v>223</v>
      </c>
      <c r="N19" s="49"/>
      <c r="O19" s="49" t="s">
        <v>194</v>
      </c>
      <c r="P19" s="49" t="s">
        <v>86</v>
      </c>
      <c r="Q19" s="49"/>
      <c r="R19" s="49">
        <v>1</v>
      </c>
      <c r="S19" s="49">
        <v>3</v>
      </c>
      <c r="T19" s="49">
        <v>1</v>
      </c>
      <c r="U19" s="49">
        <v>3</v>
      </c>
      <c r="V19" s="49">
        <v>4</v>
      </c>
      <c r="W19" s="49">
        <v>3</v>
      </c>
      <c r="X19" s="49">
        <v>3</v>
      </c>
      <c r="Y19" s="49">
        <v>3</v>
      </c>
      <c r="Z19" s="49">
        <v>2</v>
      </c>
      <c r="AA19" s="114">
        <f t="shared" si="7"/>
        <v>4</v>
      </c>
      <c r="AB19" s="101" t="s">
        <v>87</v>
      </c>
      <c r="AC19" s="49">
        <v>3</v>
      </c>
      <c r="AD19" s="101" t="str">
        <f t="shared" si="0"/>
        <v>Medium</v>
      </c>
      <c r="AE19" s="101">
        <f t="shared" si="4"/>
        <v>12</v>
      </c>
      <c r="AF19" s="102" t="str">
        <f t="shared" si="1"/>
        <v>Medium</v>
      </c>
      <c r="AG19" s="50" t="s">
        <v>150</v>
      </c>
      <c r="AH19" s="51">
        <v>3</v>
      </c>
      <c r="AI19" s="137"/>
      <c r="AJ19" s="49"/>
      <c r="AK19" s="49"/>
      <c r="AL19" s="101" t="str">
        <f t="shared" si="2"/>
        <v>Medium</v>
      </c>
      <c r="AM19" s="49">
        <v>2</v>
      </c>
      <c r="AN19" s="101" t="str">
        <f t="shared" si="5"/>
        <v>Low</v>
      </c>
      <c r="AO19" s="101">
        <v>2</v>
      </c>
      <c r="AP19" s="101" t="str">
        <f t="shared" si="3"/>
        <v>Very Low</v>
      </c>
      <c r="AQ19" s="49" t="s">
        <v>89</v>
      </c>
      <c r="AR19" s="49" t="s">
        <v>222</v>
      </c>
      <c r="AS19" s="49" t="s">
        <v>190</v>
      </c>
      <c r="AT19" s="55">
        <v>45657</v>
      </c>
      <c r="AU19" s="53" t="s">
        <v>140</v>
      </c>
      <c r="AV19" s="52">
        <v>45720</v>
      </c>
      <c r="AW19" s="54"/>
    </row>
    <row r="20" spans="1:49" s="3" customFormat="1" ht="45" x14ac:dyDescent="0.2">
      <c r="A20" s="49">
        <v>18</v>
      </c>
      <c r="B20" s="49" t="s">
        <v>224</v>
      </c>
      <c r="C20" s="49" t="s">
        <v>225</v>
      </c>
      <c r="D20" s="49" t="s">
        <v>226</v>
      </c>
      <c r="E20" s="49" t="s">
        <v>227</v>
      </c>
      <c r="F20" s="49" t="s">
        <v>187</v>
      </c>
      <c r="G20" s="49" t="s">
        <v>131</v>
      </c>
      <c r="H20" s="49" t="s">
        <v>228</v>
      </c>
      <c r="I20" s="49" t="s">
        <v>229</v>
      </c>
      <c r="J20" s="49" t="s">
        <v>230</v>
      </c>
      <c r="K20" s="49" t="s">
        <v>191</v>
      </c>
      <c r="L20" s="49" t="s">
        <v>200</v>
      </c>
      <c r="M20" s="49" t="s">
        <v>231</v>
      </c>
      <c r="N20" s="49"/>
      <c r="O20" s="49" t="s">
        <v>194</v>
      </c>
      <c r="P20" s="49" t="s">
        <v>86</v>
      </c>
      <c r="Q20" s="49"/>
      <c r="R20" s="49">
        <v>3</v>
      </c>
      <c r="S20" s="49">
        <v>3</v>
      </c>
      <c r="T20" s="49">
        <v>1</v>
      </c>
      <c r="U20" s="49">
        <v>3</v>
      </c>
      <c r="V20" s="49">
        <v>2</v>
      </c>
      <c r="W20" s="49">
        <v>2</v>
      </c>
      <c r="X20" s="49">
        <v>1</v>
      </c>
      <c r="Y20" s="49">
        <v>3</v>
      </c>
      <c r="Z20" s="49">
        <v>3</v>
      </c>
      <c r="AA20" s="114">
        <f t="shared" si="7"/>
        <v>3</v>
      </c>
      <c r="AB20" s="101" t="s">
        <v>109</v>
      </c>
      <c r="AC20" s="49">
        <v>3</v>
      </c>
      <c r="AD20" s="101" t="str">
        <f t="shared" si="0"/>
        <v>Medium</v>
      </c>
      <c r="AE20" s="101">
        <f t="shared" si="4"/>
        <v>9</v>
      </c>
      <c r="AF20" s="102" t="str">
        <f t="shared" si="1"/>
        <v>Low</v>
      </c>
      <c r="AG20" s="50" t="s">
        <v>150</v>
      </c>
      <c r="AH20" s="51">
        <v>3</v>
      </c>
      <c r="AI20" s="137"/>
      <c r="AJ20" s="49"/>
      <c r="AK20" s="49"/>
      <c r="AL20" s="101" t="str">
        <f t="shared" si="2"/>
        <v>Medium</v>
      </c>
      <c r="AM20" s="49">
        <v>1</v>
      </c>
      <c r="AN20" s="101" t="str">
        <f t="shared" si="5"/>
        <v>Very Low</v>
      </c>
      <c r="AO20" s="101">
        <v>2</v>
      </c>
      <c r="AP20" s="101" t="str">
        <f t="shared" si="3"/>
        <v>Very Low</v>
      </c>
      <c r="AQ20" s="49" t="s">
        <v>89</v>
      </c>
      <c r="AR20" s="49" t="s">
        <v>232</v>
      </c>
      <c r="AS20" s="49" t="s">
        <v>230</v>
      </c>
      <c r="AT20" s="55">
        <v>45657</v>
      </c>
      <c r="AU20" s="53" t="s">
        <v>140</v>
      </c>
      <c r="AV20" s="52">
        <v>45720</v>
      </c>
      <c r="AW20" s="54"/>
    </row>
    <row r="21" spans="1:49" s="3" customFormat="1" ht="45" x14ac:dyDescent="0.2">
      <c r="A21" s="49">
        <v>19</v>
      </c>
      <c r="B21" s="49" t="s">
        <v>233</v>
      </c>
      <c r="C21" s="49" t="s">
        <v>234</v>
      </c>
      <c r="D21" s="49" t="s">
        <v>185</v>
      </c>
      <c r="E21" s="49" t="s">
        <v>186</v>
      </c>
      <c r="F21" s="49" t="s">
        <v>187</v>
      </c>
      <c r="G21" s="49" t="s">
        <v>131</v>
      </c>
      <c r="H21" s="49" t="s">
        <v>235</v>
      </c>
      <c r="I21" s="49" t="s">
        <v>236</v>
      </c>
      <c r="J21" s="49" t="s">
        <v>230</v>
      </c>
      <c r="K21" s="49" t="s">
        <v>191</v>
      </c>
      <c r="L21" s="49" t="s">
        <v>200</v>
      </c>
      <c r="M21" s="49" t="s">
        <v>237</v>
      </c>
      <c r="N21" s="49"/>
      <c r="O21" s="49" t="s">
        <v>194</v>
      </c>
      <c r="P21" s="49" t="s">
        <v>86</v>
      </c>
      <c r="Q21" s="49"/>
      <c r="R21" s="49">
        <v>3</v>
      </c>
      <c r="S21" s="49">
        <v>3</v>
      </c>
      <c r="T21" s="49">
        <v>1</v>
      </c>
      <c r="U21" s="49">
        <v>3</v>
      </c>
      <c r="V21" s="49">
        <v>2</v>
      </c>
      <c r="W21" s="49">
        <v>1</v>
      </c>
      <c r="X21" s="49">
        <v>1</v>
      </c>
      <c r="Y21" s="49">
        <v>2</v>
      </c>
      <c r="Z21" s="49">
        <v>2</v>
      </c>
      <c r="AA21" s="114">
        <f t="shared" si="7"/>
        <v>3</v>
      </c>
      <c r="AB21" s="101" t="s">
        <v>109</v>
      </c>
      <c r="AC21" s="49">
        <v>3</v>
      </c>
      <c r="AD21" s="101" t="str">
        <f t="shared" si="0"/>
        <v>Medium</v>
      </c>
      <c r="AE21" s="101">
        <f t="shared" si="4"/>
        <v>9</v>
      </c>
      <c r="AF21" s="102" t="str">
        <f t="shared" si="1"/>
        <v>Low</v>
      </c>
      <c r="AG21" s="50" t="s">
        <v>150</v>
      </c>
      <c r="AH21" s="51">
        <v>3</v>
      </c>
      <c r="AI21" s="137"/>
      <c r="AJ21" s="49"/>
      <c r="AK21" s="49"/>
      <c r="AL21" s="101" t="str">
        <f t="shared" si="2"/>
        <v>Medium</v>
      </c>
      <c r="AM21" s="49">
        <v>1</v>
      </c>
      <c r="AN21" s="101" t="str">
        <f t="shared" si="5"/>
        <v>Very Low</v>
      </c>
      <c r="AO21" s="101">
        <v>2</v>
      </c>
      <c r="AP21" s="101" t="str">
        <f t="shared" si="3"/>
        <v>Very Low</v>
      </c>
      <c r="AQ21" s="49" t="s">
        <v>89</v>
      </c>
      <c r="AR21" s="49" t="s">
        <v>238</v>
      </c>
      <c r="AS21" s="49" t="s">
        <v>230</v>
      </c>
      <c r="AT21" s="55">
        <v>45657</v>
      </c>
      <c r="AU21" s="53" t="s">
        <v>140</v>
      </c>
      <c r="AV21" s="52">
        <v>45720</v>
      </c>
      <c r="AW21" s="54"/>
    </row>
    <row r="22" spans="1:49" s="3" customFormat="1" ht="45" x14ac:dyDescent="0.2">
      <c r="A22" s="49">
        <v>20</v>
      </c>
      <c r="B22" s="49" t="s">
        <v>239</v>
      </c>
      <c r="C22" s="49" t="s">
        <v>240</v>
      </c>
      <c r="D22" s="49" t="s">
        <v>226</v>
      </c>
      <c r="E22" s="49" t="s">
        <v>241</v>
      </c>
      <c r="F22" s="49" t="s">
        <v>187</v>
      </c>
      <c r="G22" s="49" t="s">
        <v>131</v>
      </c>
      <c r="H22" s="49" t="s">
        <v>242</v>
      </c>
      <c r="I22" s="49" t="s">
        <v>243</v>
      </c>
      <c r="J22" s="49" t="s">
        <v>230</v>
      </c>
      <c r="K22" s="49" t="s">
        <v>191</v>
      </c>
      <c r="L22" s="49" t="s">
        <v>200</v>
      </c>
      <c r="M22" s="49" t="s">
        <v>231</v>
      </c>
      <c r="N22" s="49"/>
      <c r="O22" s="49" t="s">
        <v>194</v>
      </c>
      <c r="P22" s="49" t="s">
        <v>86</v>
      </c>
      <c r="Q22" s="49"/>
      <c r="R22" s="49">
        <v>3</v>
      </c>
      <c r="S22" s="49">
        <v>3</v>
      </c>
      <c r="T22" s="49">
        <v>1</v>
      </c>
      <c r="U22" s="49">
        <v>3</v>
      </c>
      <c r="V22" s="49">
        <v>3</v>
      </c>
      <c r="W22" s="49">
        <v>1</v>
      </c>
      <c r="X22" s="49">
        <v>2</v>
      </c>
      <c r="Y22" s="49">
        <v>2</v>
      </c>
      <c r="Z22" s="49">
        <v>1</v>
      </c>
      <c r="AA22" s="114">
        <f t="shared" si="7"/>
        <v>3</v>
      </c>
      <c r="AB22" s="101" t="s">
        <v>109</v>
      </c>
      <c r="AC22" s="49">
        <v>3</v>
      </c>
      <c r="AD22" s="101" t="str">
        <f t="shared" si="0"/>
        <v>Medium</v>
      </c>
      <c r="AE22" s="101">
        <f t="shared" si="4"/>
        <v>9</v>
      </c>
      <c r="AF22" s="102" t="str">
        <f t="shared" si="1"/>
        <v>Low</v>
      </c>
      <c r="AG22" s="50" t="s">
        <v>150</v>
      </c>
      <c r="AH22" s="51">
        <v>2</v>
      </c>
      <c r="AI22" s="137"/>
      <c r="AJ22" s="49"/>
      <c r="AK22" s="49"/>
      <c r="AL22" s="101" t="str">
        <f t="shared" si="2"/>
        <v>Low</v>
      </c>
      <c r="AM22" s="49">
        <v>1</v>
      </c>
      <c r="AN22" s="101" t="str">
        <f t="shared" si="5"/>
        <v>Very Low</v>
      </c>
      <c r="AO22" s="101">
        <f t="shared" si="6"/>
        <v>2</v>
      </c>
      <c r="AP22" s="101" t="str">
        <f t="shared" si="3"/>
        <v>Very Low</v>
      </c>
      <c r="AQ22" s="49" t="s">
        <v>89</v>
      </c>
      <c r="AR22" s="49" t="s">
        <v>244</v>
      </c>
      <c r="AS22" s="49" t="s">
        <v>230</v>
      </c>
      <c r="AT22" s="55">
        <v>45657</v>
      </c>
      <c r="AU22" s="53" t="s">
        <v>140</v>
      </c>
      <c r="AV22" s="52">
        <v>45720</v>
      </c>
      <c r="AW22" s="54"/>
    </row>
    <row r="23" spans="1:49" s="3" customFormat="1" ht="60" x14ac:dyDescent="0.2">
      <c r="A23" s="49">
        <v>21</v>
      </c>
      <c r="B23" s="49" t="s">
        <v>245</v>
      </c>
      <c r="C23" s="49" t="s">
        <v>240</v>
      </c>
      <c r="D23" s="49" t="s">
        <v>226</v>
      </c>
      <c r="E23" s="49" t="s">
        <v>241</v>
      </c>
      <c r="F23" s="49" t="s">
        <v>187</v>
      </c>
      <c r="G23" s="49" t="s">
        <v>131</v>
      </c>
      <c r="H23" s="49" t="s">
        <v>246</v>
      </c>
      <c r="I23" s="49" t="s">
        <v>246</v>
      </c>
      <c r="J23" s="49" t="s">
        <v>247</v>
      </c>
      <c r="K23" s="49" t="s">
        <v>191</v>
      </c>
      <c r="L23" s="49" t="s">
        <v>200</v>
      </c>
      <c r="M23" s="49" t="s">
        <v>248</v>
      </c>
      <c r="N23" s="49"/>
      <c r="O23" s="49" t="s">
        <v>194</v>
      </c>
      <c r="P23" s="49" t="s">
        <v>86</v>
      </c>
      <c r="Q23" s="49"/>
      <c r="R23" s="49">
        <v>3</v>
      </c>
      <c r="S23" s="49">
        <v>3</v>
      </c>
      <c r="T23" s="49">
        <v>1</v>
      </c>
      <c r="U23" s="49">
        <v>3</v>
      </c>
      <c r="V23" s="49">
        <v>3</v>
      </c>
      <c r="W23" s="49">
        <v>3</v>
      </c>
      <c r="X23" s="49">
        <v>2</v>
      </c>
      <c r="Y23" s="49">
        <v>3</v>
      </c>
      <c r="Z23" s="49">
        <v>1</v>
      </c>
      <c r="AA23" s="114">
        <f t="shared" si="7"/>
        <v>3</v>
      </c>
      <c r="AB23" s="101" t="s">
        <v>109</v>
      </c>
      <c r="AC23" s="49">
        <v>2</v>
      </c>
      <c r="AD23" s="101" t="str">
        <f t="shared" si="0"/>
        <v>Low</v>
      </c>
      <c r="AE23" s="101">
        <f t="shared" si="4"/>
        <v>6</v>
      </c>
      <c r="AF23" s="102" t="str">
        <f t="shared" si="1"/>
        <v>Very Low</v>
      </c>
      <c r="AG23" s="50" t="s">
        <v>150</v>
      </c>
      <c r="AH23" s="51">
        <v>3</v>
      </c>
      <c r="AI23" s="137"/>
      <c r="AJ23" s="49"/>
      <c r="AK23" s="49"/>
      <c r="AL23" s="101" t="str">
        <f t="shared" si="2"/>
        <v>Medium</v>
      </c>
      <c r="AM23" s="49">
        <v>1</v>
      </c>
      <c r="AN23" s="101" t="str">
        <f t="shared" si="5"/>
        <v>Very Low</v>
      </c>
      <c r="AO23" s="101">
        <f t="shared" si="6"/>
        <v>3</v>
      </c>
      <c r="AP23" s="101" t="str">
        <f t="shared" si="3"/>
        <v>Very Low</v>
      </c>
      <c r="AQ23" s="49" t="s">
        <v>89</v>
      </c>
      <c r="AR23" s="49" t="s">
        <v>249</v>
      </c>
      <c r="AS23" s="49" t="s">
        <v>247</v>
      </c>
      <c r="AT23" s="55">
        <v>45657</v>
      </c>
      <c r="AU23" s="53" t="s">
        <v>140</v>
      </c>
      <c r="AV23" s="52">
        <v>45720</v>
      </c>
      <c r="AW23" s="54"/>
    </row>
    <row r="24" spans="1:49" s="3" customFormat="1" ht="45" x14ac:dyDescent="0.2">
      <c r="A24" s="49">
        <v>22</v>
      </c>
      <c r="B24" s="49" t="s">
        <v>250</v>
      </c>
      <c r="C24" s="49" t="s">
        <v>240</v>
      </c>
      <c r="D24" s="49" t="s">
        <v>185</v>
      </c>
      <c r="E24" s="49" t="s">
        <v>186</v>
      </c>
      <c r="F24" s="49" t="s">
        <v>187</v>
      </c>
      <c r="G24" s="49" t="s">
        <v>131</v>
      </c>
      <c r="H24" s="49" t="s">
        <v>251</v>
      </c>
      <c r="I24" s="49" t="s">
        <v>252</v>
      </c>
      <c r="J24" s="49" t="s">
        <v>247</v>
      </c>
      <c r="K24" s="49" t="s">
        <v>191</v>
      </c>
      <c r="L24" s="49" t="s">
        <v>200</v>
      </c>
      <c r="M24" s="49" t="s">
        <v>253</v>
      </c>
      <c r="N24" s="49"/>
      <c r="O24" s="49" t="s">
        <v>194</v>
      </c>
      <c r="P24" s="49" t="s">
        <v>86</v>
      </c>
      <c r="Q24" s="49"/>
      <c r="R24" s="49">
        <v>3</v>
      </c>
      <c r="S24" s="49">
        <v>3</v>
      </c>
      <c r="T24" s="49">
        <v>1</v>
      </c>
      <c r="U24" s="49">
        <v>4</v>
      </c>
      <c r="V24" s="49">
        <v>4</v>
      </c>
      <c r="W24" s="49">
        <v>3</v>
      </c>
      <c r="X24" s="49">
        <v>3</v>
      </c>
      <c r="Y24" s="49">
        <v>3</v>
      </c>
      <c r="Z24" s="49">
        <v>3</v>
      </c>
      <c r="AA24" s="114">
        <f t="shared" si="7"/>
        <v>4</v>
      </c>
      <c r="AB24" s="101" t="s">
        <v>87</v>
      </c>
      <c r="AC24" s="49">
        <v>2</v>
      </c>
      <c r="AD24" s="101" t="str">
        <f t="shared" si="0"/>
        <v>Low</v>
      </c>
      <c r="AE24" s="101">
        <f t="shared" si="4"/>
        <v>8</v>
      </c>
      <c r="AF24" s="102" t="str">
        <f t="shared" si="1"/>
        <v>Low</v>
      </c>
      <c r="AG24" s="50" t="s">
        <v>150</v>
      </c>
      <c r="AH24" s="51">
        <v>4</v>
      </c>
      <c r="AI24" s="137"/>
      <c r="AJ24" s="49"/>
      <c r="AK24" s="49"/>
      <c r="AL24" s="101" t="str">
        <f t="shared" si="2"/>
        <v>High</v>
      </c>
      <c r="AM24" s="49">
        <v>3</v>
      </c>
      <c r="AN24" s="101" t="str">
        <f t="shared" si="5"/>
        <v>Medium</v>
      </c>
      <c r="AO24" s="101">
        <v>3</v>
      </c>
      <c r="AP24" s="101" t="str">
        <f t="shared" si="3"/>
        <v>Very Low</v>
      </c>
      <c r="AQ24" s="49" t="s">
        <v>89</v>
      </c>
      <c r="AR24" s="49" t="s">
        <v>254</v>
      </c>
      <c r="AS24" s="49" t="s">
        <v>247</v>
      </c>
      <c r="AT24" s="55" t="s">
        <v>255</v>
      </c>
      <c r="AU24" s="53" t="s">
        <v>256</v>
      </c>
      <c r="AV24" s="52">
        <v>45720</v>
      </c>
      <c r="AW24" s="54"/>
    </row>
    <row r="25" spans="1:49" s="3" customFormat="1" ht="75" x14ac:dyDescent="0.2">
      <c r="A25" s="49">
        <v>23</v>
      </c>
      <c r="B25" s="49" t="s">
        <v>257</v>
      </c>
      <c r="C25" s="49" t="s">
        <v>18</v>
      </c>
      <c r="D25" s="49" t="s">
        <v>142</v>
      </c>
      <c r="E25" s="49" t="s">
        <v>174</v>
      </c>
      <c r="F25" s="49" t="s">
        <v>258</v>
      </c>
      <c r="G25" s="49" t="s">
        <v>131</v>
      </c>
      <c r="H25" s="49" t="s">
        <v>259</v>
      </c>
      <c r="I25" s="49" t="s">
        <v>260</v>
      </c>
      <c r="J25" s="49" t="s">
        <v>261</v>
      </c>
      <c r="K25" s="49" t="s">
        <v>262</v>
      </c>
      <c r="L25" s="49" t="s">
        <v>263</v>
      </c>
      <c r="M25" s="49" t="s">
        <v>264</v>
      </c>
      <c r="N25" s="49"/>
      <c r="O25" s="49" t="s">
        <v>265</v>
      </c>
      <c r="P25" s="49" t="s">
        <v>86</v>
      </c>
      <c r="Q25" s="49"/>
      <c r="R25" s="49">
        <v>1</v>
      </c>
      <c r="S25" s="49">
        <v>2</v>
      </c>
      <c r="T25" s="49">
        <v>1</v>
      </c>
      <c r="U25" s="49">
        <v>3</v>
      </c>
      <c r="V25" s="49">
        <v>1</v>
      </c>
      <c r="W25" s="49">
        <v>1</v>
      </c>
      <c r="X25" s="49">
        <v>1</v>
      </c>
      <c r="Y25" s="49">
        <v>1</v>
      </c>
      <c r="Z25" s="49">
        <v>1</v>
      </c>
      <c r="AA25" s="114">
        <f t="shared" si="7"/>
        <v>3</v>
      </c>
      <c r="AB25" s="101" t="s">
        <v>109</v>
      </c>
      <c r="AC25" s="49">
        <v>1</v>
      </c>
      <c r="AD25" s="101" t="str">
        <f t="shared" si="0"/>
        <v>Very Low</v>
      </c>
      <c r="AE25" s="101">
        <f t="shared" si="4"/>
        <v>3</v>
      </c>
      <c r="AF25" s="102" t="str">
        <f t="shared" si="1"/>
        <v>Very Low</v>
      </c>
      <c r="AG25" s="50" t="s">
        <v>150</v>
      </c>
      <c r="AH25" s="51">
        <v>3</v>
      </c>
      <c r="AI25" s="137"/>
      <c r="AJ25" s="49"/>
      <c r="AK25" s="49"/>
      <c r="AL25" s="101" t="str">
        <f t="shared" si="2"/>
        <v>Medium</v>
      </c>
      <c r="AM25" s="49">
        <v>2</v>
      </c>
      <c r="AN25" s="101" t="str">
        <f t="shared" si="5"/>
        <v>Low</v>
      </c>
      <c r="AO25" s="101">
        <v>2</v>
      </c>
      <c r="AP25" s="101" t="str">
        <f t="shared" si="3"/>
        <v>Very Low</v>
      </c>
      <c r="AQ25" s="49" t="s">
        <v>89</v>
      </c>
      <c r="AR25" s="49" t="s">
        <v>266</v>
      </c>
      <c r="AS25" s="49" t="s">
        <v>267</v>
      </c>
      <c r="AT25" s="55">
        <v>45626</v>
      </c>
      <c r="AU25" s="157" t="s">
        <v>161</v>
      </c>
      <c r="AV25" s="52">
        <v>45721</v>
      </c>
      <c r="AW25" s="161" t="s">
        <v>268</v>
      </c>
    </row>
    <row r="26" spans="1:49" s="3" customFormat="1" ht="75" x14ac:dyDescent="0.2">
      <c r="A26" s="49">
        <v>24</v>
      </c>
      <c r="B26" s="49" t="s">
        <v>269</v>
      </c>
      <c r="C26" s="49" t="s">
        <v>18</v>
      </c>
      <c r="D26" s="49" t="s">
        <v>142</v>
      </c>
      <c r="E26" s="49" t="s">
        <v>270</v>
      </c>
      <c r="F26" s="49" t="s">
        <v>258</v>
      </c>
      <c r="G26" s="49" t="s">
        <v>131</v>
      </c>
      <c r="H26" s="49" t="s">
        <v>271</v>
      </c>
      <c r="I26" s="49" t="s">
        <v>272</v>
      </c>
      <c r="J26" s="49" t="s">
        <v>273</v>
      </c>
      <c r="K26" s="49" t="s">
        <v>262</v>
      </c>
      <c r="L26" s="49" t="s">
        <v>274</v>
      </c>
      <c r="M26" s="49" t="s">
        <v>264</v>
      </c>
      <c r="N26" s="49"/>
      <c r="O26" s="49" t="s">
        <v>85</v>
      </c>
      <c r="P26" s="49" t="s">
        <v>86</v>
      </c>
      <c r="Q26" s="49"/>
      <c r="R26" s="49">
        <v>1</v>
      </c>
      <c r="S26" s="49">
        <v>1</v>
      </c>
      <c r="T26" s="49">
        <v>2</v>
      </c>
      <c r="U26" s="49">
        <v>1</v>
      </c>
      <c r="V26" s="49">
        <v>1</v>
      </c>
      <c r="W26" s="49">
        <v>1</v>
      </c>
      <c r="X26" s="49">
        <v>1</v>
      </c>
      <c r="Y26" s="49">
        <v>1</v>
      </c>
      <c r="Z26" s="49">
        <v>1</v>
      </c>
      <c r="AA26" s="114">
        <f t="shared" si="7"/>
        <v>2</v>
      </c>
      <c r="AB26" s="101" t="s">
        <v>118</v>
      </c>
      <c r="AC26" s="49">
        <v>2</v>
      </c>
      <c r="AD26" s="101" t="str">
        <f t="shared" si="0"/>
        <v>Low</v>
      </c>
      <c r="AE26" s="101">
        <f t="shared" si="4"/>
        <v>4</v>
      </c>
      <c r="AF26" s="102" t="str">
        <f t="shared" si="1"/>
        <v>Very Low</v>
      </c>
      <c r="AG26" s="50" t="s">
        <v>150</v>
      </c>
      <c r="AH26" s="51">
        <v>1</v>
      </c>
      <c r="AI26" s="137"/>
      <c r="AJ26" s="49"/>
      <c r="AK26" s="49"/>
      <c r="AL26" s="101" t="str">
        <f t="shared" si="2"/>
        <v>Very Low</v>
      </c>
      <c r="AM26" s="49">
        <v>1</v>
      </c>
      <c r="AN26" s="101" t="str">
        <f t="shared" si="5"/>
        <v>Very Low</v>
      </c>
      <c r="AO26" s="101">
        <f t="shared" si="6"/>
        <v>1</v>
      </c>
      <c r="AP26" s="101" t="str">
        <f t="shared" si="3"/>
        <v>Very Low</v>
      </c>
      <c r="AQ26" s="49" t="s">
        <v>89</v>
      </c>
      <c r="AR26" s="49" t="s">
        <v>266</v>
      </c>
      <c r="AS26" s="49" t="s">
        <v>267</v>
      </c>
      <c r="AT26" s="55">
        <v>45626</v>
      </c>
      <c r="AU26" s="157" t="s">
        <v>161</v>
      </c>
      <c r="AV26" s="52">
        <v>45721</v>
      </c>
      <c r="AW26" s="160" t="s">
        <v>275</v>
      </c>
    </row>
    <row r="27" spans="1:49" s="3" customFormat="1" ht="60" x14ac:dyDescent="0.2">
      <c r="A27" s="49">
        <v>25</v>
      </c>
      <c r="B27" s="49" t="s">
        <v>276</v>
      </c>
      <c r="C27" s="49" t="s">
        <v>18</v>
      </c>
      <c r="D27" s="49" t="s">
        <v>142</v>
      </c>
      <c r="E27" s="49" t="s">
        <v>277</v>
      </c>
      <c r="F27" s="49" t="s">
        <v>258</v>
      </c>
      <c r="G27" s="49" t="s">
        <v>131</v>
      </c>
      <c r="H27" s="49" t="s">
        <v>278</v>
      </c>
      <c r="I27" s="49" t="s">
        <v>279</v>
      </c>
      <c r="J27" s="49" t="s">
        <v>273</v>
      </c>
      <c r="K27" s="49" t="s">
        <v>262</v>
      </c>
      <c r="L27" s="49" t="s">
        <v>280</v>
      </c>
      <c r="M27" s="49" t="s">
        <v>281</v>
      </c>
      <c r="N27" s="49"/>
      <c r="O27" s="49" t="s">
        <v>85</v>
      </c>
      <c r="P27" s="49" t="s">
        <v>86</v>
      </c>
      <c r="Q27" s="49"/>
      <c r="R27" s="49">
        <v>1</v>
      </c>
      <c r="S27" s="49">
        <v>1</v>
      </c>
      <c r="T27" s="49">
        <v>1</v>
      </c>
      <c r="U27" s="49">
        <v>1</v>
      </c>
      <c r="V27" s="49">
        <v>1</v>
      </c>
      <c r="W27" s="49">
        <v>1</v>
      </c>
      <c r="X27" s="49">
        <v>2</v>
      </c>
      <c r="Y27" s="49">
        <v>1</v>
      </c>
      <c r="Z27" s="49">
        <v>2</v>
      </c>
      <c r="AA27" s="114">
        <f t="shared" si="7"/>
        <v>2</v>
      </c>
      <c r="AB27" s="101" t="s">
        <v>118</v>
      </c>
      <c r="AC27" s="49">
        <v>2</v>
      </c>
      <c r="AD27" s="101" t="str">
        <f t="shared" si="0"/>
        <v>Low</v>
      </c>
      <c r="AE27" s="101">
        <f t="shared" si="4"/>
        <v>4</v>
      </c>
      <c r="AF27" s="102" t="str">
        <f t="shared" si="1"/>
        <v>Very Low</v>
      </c>
      <c r="AG27" s="50" t="s">
        <v>150</v>
      </c>
      <c r="AH27" s="51">
        <v>4</v>
      </c>
      <c r="AI27" s="137"/>
      <c r="AJ27" s="49"/>
      <c r="AK27" s="49"/>
      <c r="AL27" s="101" t="str">
        <f t="shared" si="2"/>
        <v>High</v>
      </c>
      <c r="AM27" s="49">
        <v>2</v>
      </c>
      <c r="AN27" s="101" t="str">
        <f t="shared" si="5"/>
        <v>Low</v>
      </c>
      <c r="AO27" s="101">
        <v>2</v>
      </c>
      <c r="AP27" s="101" t="str">
        <f t="shared" si="3"/>
        <v>Very Low</v>
      </c>
      <c r="AQ27" s="49" t="s">
        <v>89</v>
      </c>
      <c r="AR27" s="49" t="s">
        <v>266</v>
      </c>
      <c r="AS27" s="49" t="s">
        <v>267</v>
      </c>
      <c r="AT27" s="55">
        <v>45657</v>
      </c>
      <c r="AU27" s="53" t="s">
        <v>140</v>
      </c>
      <c r="AV27" s="52">
        <v>45721</v>
      </c>
      <c r="AW27" s="160" t="s">
        <v>282</v>
      </c>
    </row>
    <row r="28" spans="1:49" s="3" customFormat="1" ht="75" x14ac:dyDescent="0.2">
      <c r="A28" s="49">
        <v>26</v>
      </c>
      <c r="B28" s="49" t="s">
        <v>283</v>
      </c>
      <c r="C28" s="49" t="s">
        <v>18</v>
      </c>
      <c r="D28" s="49" t="s">
        <v>142</v>
      </c>
      <c r="E28" s="49" t="s">
        <v>284</v>
      </c>
      <c r="F28" s="49" t="s">
        <v>258</v>
      </c>
      <c r="G28" s="49" t="s">
        <v>131</v>
      </c>
      <c r="H28" s="49" t="s">
        <v>285</v>
      </c>
      <c r="I28" s="49" t="s">
        <v>286</v>
      </c>
      <c r="J28" s="49" t="s">
        <v>273</v>
      </c>
      <c r="K28" s="49" t="s">
        <v>262</v>
      </c>
      <c r="L28" s="49" t="s">
        <v>287</v>
      </c>
      <c r="M28" s="49" t="s">
        <v>288</v>
      </c>
      <c r="N28" s="49"/>
      <c r="O28" s="49" t="s">
        <v>85</v>
      </c>
      <c r="P28" s="49" t="s">
        <v>86</v>
      </c>
      <c r="Q28" s="49"/>
      <c r="R28" s="49">
        <v>1</v>
      </c>
      <c r="S28" s="49">
        <v>2</v>
      </c>
      <c r="T28" s="49">
        <v>2</v>
      </c>
      <c r="U28" s="49">
        <v>2</v>
      </c>
      <c r="V28" s="49">
        <v>1</v>
      </c>
      <c r="W28" s="49">
        <v>1</v>
      </c>
      <c r="X28" s="49">
        <v>1</v>
      </c>
      <c r="Y28" s="49">
        <v>1</v>
      </c>
      <c r="Z28" s="49">
        <v>2</v>
      </c>
      <c r="AA28" s="114">
        <f t="shared" si="7"/>
        <v>2</v>
      </c>
      <c r="AB28" s="101" t="s">
        <v>118</v>
      </c>
      <c r="AC28" s="49">
        <v>2</v>
      </c>
      <c r="AD28" s="101" t="str">
        <f t="shared" si="0"/>
        <v>Low</v>
      </c>
      <c r="AE28" s="101">
        <f t="shared" si="4"/>
        <v>4</v>
      </c>
      <c r="AF28" s="102" t="str">
        <f t="shared" si="1"/>
        <v>Very Low</v>
      </c>
      <c r="AG28" s="50" t="s">
        <v>150</v>
      </c>
      <c r="AH28" s="51">
        <v>4</v>
      </c>
      <c r="AI28" s="137"/>
      <c r="AJ28" s="49"/>
      <c r="AK28" s="49"/>
      <c r="AL28" s="101" t="str">
        <f t="shared" si="2"/>
        <v>High</v>
      </c>
      <c r="AM28" s="49">
        <v>2</v>
      </c>
      <c r="AN28" s="101" t="str">
        <f t="shared" si="5"/>
        <v>Low</v>
      </c>
      <c r="AO28" s="101">
        <v>2</v>
      </c>
      <c r="AP28" s="101" t="str">
        <f t="shared" si="3"/>
        <v>Very Low</v>
      </c>
      <c r="AQ28" s="49" t="s">
        <v>89</v>
      </c>
      <c r="AR28" s="49" t="s">
        <v>266</v>
      </c>
      <c r="AS28" s="49" t="s">
        <v>267</v>
      </c>
      <c r="AT28" s="55">
        <v>45626</v>
      </c>
      <c r="AU28" s="157" t="s">
        <v>161</v>
      </c>
      <c r="AV28" s="52">
        <v>45721</v>
      </c>
      <c r="AW28" s="160" t="s">
        <v>289</v>
      </c>
    </row>
    <row r="29" spans="1:49" s="3" customFormat="1" ht="120" x14ac:dyDescent="0.2">
      <c r="A29" s="49">
        <v>27</v>
      </c>
      <c r="B29" s="49" t="s">
        <v>290</v>
      </c>
      <c r="C29" s="49" t="s">
        <v>18</v>
      </c>
      <c r="D29" s="49" t="s">
        <v>142</v>
      </c>
      <c r="E29" s="49" t="s">
        <v>174</v>
      </c>
      <c r="F29" s="49" t="s">
        <v>258</v>
      </c>
      <c r="G29" s="49" t="s">
        <v>131</v>
      </c>
      <c r="H29" s="49" t="s">
        <v>291</v>
      </c>
      <c r="I29" s="49" t="s">
        <v>292</v>
      </c>
      <c r="J29" s="49" t="s">
        <v>273</v>
      </c>
      <c r="K29" s="49" t="s">
        <v>293</v>
      </c>
      <c r="L29" s="49" t="s">
        <v>294</v>
      </c>
      <c r="M29" s="49" t="s">
        <v>264</v>
      </c>
      <c r="N29" s="49"/>
      <c r="O29" s="49" t="s">
        <v>265</v>
      </c>
      <c r="P29" s="49" t="s">
        <v>86</v>
      </c>
      <c r="Q29" s="49"/>
      <c r="R29" s="49">
        <v>1</v>
      </c>
      <c r="S29" s="49">
        <v>1</v>
      </c>
      <c r="T29" s="49">
        <v>1</v>
      </c>
      <c r="U29" s="49">
        <v>1</v>
      </c>
      <c r="V29" s="49">
        <v>1</v>
      </c>
      <c r="W29" s="49">
        <v>1</v>
      </c>
      <c r="X29" s="49">
        <v>1</v>
      </c>
      <c r="Y29" s="49">
        <v>1</v>
      </c>
      <c r="Z29" s="49">
        <v>1</v>
      </c>
      <c r="AA29" s="114">
        <f t="shared" si="7"/>
        <v>1</v>
      </c>
      <c r="AB29" s="101" t="s">
        <v>295</v>
      </c>
      <c r="AC29" s="49">
        <v>1</v>
      </c>
      <c r="AD29" s="101" t="str">
        <f t="shared" si="0"/>
        <v>Very Low</v>
      </c>
      <c r="AE29" s="101">
        <f t="shared" si="4"/>
        <v>1</v>
      </c>
      <c r="AF29" s="102" t="str">
        <f t="shared" si="1"/>
        <v>Very Low</v>
      </c>
      <c r="AG29" s="50" t="s">
        <v>150</v>
      </c>
      <c r="AH29" s="51">
        <v>1</v>
      </c>
      <c r="AI29" s="137"/>
      <c r="AJ29" s="49"/>
      <c r="AK29" s="49"/>
      <c r="AL29" s="101" t="str">
        <f t="shared" si="2"/>
        <v>Very Low</v>
      </c>
      <c r="AM29" s="49">
        <v>2</v>
      </c>
      <c r="AN29" s="101" t="str">
        <f t="shared" si="5"/>
        <v>Low</v>
      </c>
      <c r="AO29" s="101">
        <f t="shared" si="6"/>
        <v>2</v>
      </c>
      <c r="AP29" s="101" t="str">
        <f t="shared" si="3"/>
        <v>Very Low</v>
      </c>
      <c r="AQ29" s="49" t="s">
        <v>89</v>
      </c>
      <c r="AR29" s="49" t="s">
        <v>296</v>
      </c>
      <c r="AS29" s="49" t="s">
        <v>267</v>
      </c>
      <c r="AT29" s="55">
        <v>45626</v>
      </c>
      <c r="AU29" s="53" t="s">
        <v>140</v>
      </c>
      <c r="AV29" s="52">
        <v>45721</v>
      </c>
      <c r="AW29" s="160" t="s">
        <v>297</v>
      </c>
    </row>
    <row r="30" spans="1:49" s="3" customFormat="1" ht="225" x14ac:dyDescent="0.2">
      <c r="A30" s="49">
        <v>28</v>
      </c>
      <c r="B30" s="49" t="s">
        <v>298</v>
      </c>
      <c r="C30" s="49" t="s">
        <v>18</v>
      </c>
      <c r="D30" s="49" t="s">
        <v>142</v>
      </c>
      <c r="E30" s="49"/>
      <c r="F30" s="49" t="s">
        <v>187</v>
      </c>
      <c r="G30" s="49" t="s">
        <v>131</v>
      </c>
      <c r="H30" s="49" t="s">
        <v>299</v>
      </c>
      <c r="I30" s="49" t="s">
        <v>299</v>
      </c>
      <c r="J30" s="49" t="s">
        <v>191</v>
      </c>
      <c r="K30" s="49" t="s">
        <v>300</v>
      </c>
      <c r="L30" s="49" t="s">
        <v>301</v>
      </c>
      <c r="M30" s="49" t="s">
        <v>302</v>
      </c>
      <c r="N30" s="49"/>
      <c r="O30" s="49" t="s">
        <v>194</v>
      </c>
      <c r="P30" s="49" t="s">
        <v>86</v>
      </c>
      <c r="Q30" s="49"/>
      <c r="R30" s="49"/>
      <c r="S30" s="49">
        <v>2</v>
      </c>
      <c r="T30" s="49">
        <v>3</v>
      </c>
      <c r="U30" s="49"/>
      <c r="V30" s="49"/>
      <c r="W30" s="49"/>
      <c r="X30" s="49"/>
      <c r="Y30" s="49"/>
      <c r="Z30" s="49"/>
      <c r="AA30" s="114">
        <f t="shared" si="7"/>
        <v>3</v>
      </c>
      <c r="AB30" s="101" t="s">
        <v>109</v>
      </c>
      <c r="AC30" s="49">
        <v>2</v>
      </c>
      <c r="AD30" s="101" t="str">
        <f t="shared" si="0"/>
        <v>Low</v>
      </c>
      <c r="AE30" s="101">
        <f t="shared" si="4"/>
        <v>6</v>
      </c>
      <c r="AF30" s="102" t="str">
        <f t="shared" si="1"/>
        <v>Very Low</v>
      </c>
      <c r="AG30" s="50" t="s">
        <v>88</v>
      </c>
      <c r="AH30" s="51">
        <v>3</v>
      </c>
      <c r="AI30" s="137"/>
      <c r="AJ30" s="49"/>
      <c r="AK30" s="49"/>
      <c r="AL30" s="101" t="str">
        <f t="shared" si="2"/>
        <v>Medium</v>
      </c>
      <c r="AM30" s="49">
        <v>2</v>
      </c>
      <c r="AN30" s="101" t="str">
        <f t="shared" si="5"/>
        <v>Low</v>
      </c>
      <c r="AO30" s="101">
        <f t="shared" si="6"/>
        <v>6</v>
      </c>
      <c r="AP30" s="101" t="str">
        <f t="shared" si="3"/>
        <v>Very Low</v>
      </c>
      <c r="AQ30" s="49" t="s">
        <v>89</v>
      </c>
      <c r="AR30" s="49" t="s">
        <v>303</v>
      </c>
      <c r="AS30" s="49" t="s">
        <v>304</v>
      </c>
      <c r="AT30" s="55">
        <v>45536</v>
      </c>
      <c r="AU30" s="53" t="s">
        <v>140</v>
      </c>
      <c r="AV30" s="52">
        <v>45720</v>
      </c>
      <c r="AW30" s="54" t="s">
        <v>305</v>
      </c>
    </row>
    <row r="31" spans="1:49" s="3" customFormat="1" ht="150" x14ac:dyDescent="0.2">
      <c r="A31" s="49">
        <v>29</v>
      </c>
      <c r="B31" s="49" t="s">
        <v>306</v>
      </c>
      <c r="C31" s="49" t="s">
        <v>25</v>
      </c>
      <c r="D31" s="49" t="s">
        <v>25</v>
      </c>
      <c r="E31" s="49" t="s">
        <v>307</v>
      </c>
      <c r="F31" s="49" t="s">
        <v>308</v>
      </c>
      <c r="G31" s="49" t="s">
        <v>308</v>
      </c>
      <c r="H31" s="49" t="s">
        <v>309</v>
      </c>
      <c r="I31" s="49" t="s">
        <v>310</v>
      </c>
      <c r="J31" s="49" t="s">
        <v>311</v>
      </c>
      <c r="K31" s="49" t="s">
        <v>312</v>
      </c>
      <c r="L31" s="49" t="s">
        <v>313</v>
      </c>
      <c r="M31" s="49" t="s">
        <v>314</v>
      </c>
      <c r="N31" s="49"/>
      <c r="O31" s="49" t="s">
        <v>194</v>
      </c>
      <c r="P31" s="49" t="s">
        <v>86</v>
      </c>
      <c r="Q31" s="49"/>
      <c r="R31" s="49">
        <v>1</v>
      </c>
      <c r="S31" s="49"/>
      <c r="T31" s="49"/>
      <c r="U31" s="49"/>
      <c r="V31" s="49"/>
      <c r="W31" s="49"/>
      <c r="X31" s="49"/>
      <c r="Y31" s="49"/>
      <c r="Z31" s="49">
        <v>4</v>
      </c>
      <c r="AA31" s="114">
        <f t="shared" si="7"/>
        <v>4</v>
      </c>
      <c r="AB31" s="101" t="s">
        <v>87</v>
      </c>
      <c r="AC31" s="49">
        <v>2</v>
      </c>
      <c r="AD31" s="101" t="str">
        <f t="shared" si="0"/>
        <v>Low</v>
      </c>
      <c r="AE31" s="101">
        <f t="shared" si="4"/>
        <v>8</v>
      </c>
      <c r="AF31" s="102" t="str">
        <f t="shared" si="1"/>
        <v>Low</v>
      </c>
      <c r="AG31" s="50" t="s">
        <v>315</v>
      </c>
      <c r="AH31" s="51">
        <v>2</v>
      </c>
      <c r="AI31" s="137"/>
      <c r="AJ31" s="49"/>
      <c r="AK31" s="49"/>
      <c r="AL31" s="101" t="str">
        <f t="shared" si="2"/>
        <v>Low</v>
      </c>
      <c r="AM31" s="49">
        <v>1</v>
      </c>
      <c r="AN31" s="101" t="str">
        <f t="shared" si="5"/>
        <v>Very Low</v>
      </c>
      <c r="AO31" s="101">
        <f t="shared" si="6"/>
        <v>2</v>
      </c>
      <c r="AP31" s="101" t="str">
        <f t="shared" si="3"/>
        <v>Very Low</v>
      </c>
      <c r="AQ31" s="49" t="s">
        <v>89</v>
      </c>
      <c r="AR31" s="49" t="s">
        <v>316</v>
      </c>
      <c r="AS31" s="49" t="s">
        <v>317</v>
      </c>
      <c r="AT31" s="55" t="s">
        <v>318</v>
      </c>
      <c r="AU31" s="53" t="s">
        <v>140</v>
      </c>
      <c r="AV31" s="56">
        <v>45574</v>
      </c>
      <c r="AW31" s="54"/>
    </row>
    <row r="32" spans="1:49" s="3" customFormat="1" ht="90" x14ac:dyDescent="0.2">
      <c r="A32" s="49">
        <v>31</v>
      </c>
      <c r="B32" s="49" t="s">
        <v>319</v>
      </c>
      <c r="C32" s="49" t="s">
        <v>25</v>
      </c>
      <c r="D32" s="49" t="s">
        <v>320</v>
      </c>
      <c r="E32" s="49" t="s">
        <v>321</v>
      </c>
      <c r="F32" s="49" t="s">
        <v>308</v>
      </c>
      <c r="G32" s="49" t="s">
        <v>308</v>
      </c>
      <c r="H32" s="49" t="s">
        <v>322</v>
      </c>
      <c r="I32" s="49" t="s">
        <v>323</v>
      </c>
      <c r="J32" s="49" t="s">
        <v>311</v>
      </c>
      <c r="K32" s="49" t="s">
        <v>312</v>
      </c>
      <c r="L32" s="49" t="s">
        <v>324</v>
      </c>
      <c r="M32" s="49" t="s">
        <v>325</v>
      </c>
      <c r="N32" s="49"/>
      <c r="O32" s="49" t="s">
        <v>85</v>
      </c>
      <c r="P32" s="49" t="s">
        <v>86</v>
      </c>
      <c r="Q32" s="49"/>
      <c r="R32" s="49"/>
      <c r="S32" s="49"/>
      <c r="T32" s="49"/>
      <c r="U32" s="49"/>
      <c r="V32" s="49"/>
      <c r="W32" s="49"/>
      <c r="X32" s="49">
        <v>4</v>
      </c>
      <c r="Y32" s="49"/>
      <c r="Z32" s="49"/>
      <c r="AA32" s="114">
        <f t="shared" si="7"/>
        <v>4</v>
      </c>
      <c r="AB32" s="101" t="s">
        <v>87</v>
      </c>
      <c r="AC32" s="49">
        <v>2</v>
      </c>
      <c r="AD32" s="101" t="str">
        <f t="shared" si="0"/>
        <v>Low</v>
      </c>
      <c r="AE32" s="101">
        <f t="shared" si="4"/>
        <v>8</v>
      </c>
      <c r="AF32" s="102" t="str">
        <f t="shared" si="1"/>
        <v>Low</v>
      </c>
      <c r="AG32" s="50" t="s">
        <v>88</v>
      </c>
      <c r="AH32" s="51">
        <v>1</v>
      </c>
      <c r="AI32" s="137"/>
      <c r="AJ32" s="49"/>
      <c r="AK32" s="49"/>
      <c r="AL32" s="101" t="str">
        <f t="shared" si="2"/>
        <v>Very Low</v>
      </c>
      <c r="AM32" s="49">
        <v>1</v>
      </c>
      <c r="AN32" s="101" t="str">
        <f t="shared" si="5"/>
        <v>Very Low</v>
      </c>
      <c r="AO32" s="101">
        <f t="shared" si="6"/>
        <v>1</v>
      </c>
      <c r="AP32" s="101" t="str">
        <f t="shared" si="3"/>
        <v>Very Low</v>
      </c>
      <c r="AQ32" s="49" t="s">
        <v>89</v>
      </c>
      <c r="AR32" s="49" t="s">
        <v>326</v>
      </c>
      <c r="AS32" s="49" t="s">
        <v>317</v>
      </c>
      <c r="AT32" s="55" t="s">
        <v>318</v>
      </c>
      <c r="AU32" s="53" t="s">
        <v>140</v>
      </c>
      <c r="AV32" s="56">
        <v>45574</v>
      </c>
      <c r="AW32" s="54"/>
    </row>
    <row r="33" spans="1:49" s="3" customFormat="1" ht="75" x14ac:dyDescent="0.2">
      <c r="A33" s="49">
        <v>32</v>
      </c>
      <c r="B33" s="49" t="s">
        <v>327</v>
      </c>
      <c r="C33" s="49" t="s">
        <v>18</v>
      </c>
      <c r="D33" s="49" t="s">
        <v>226</v>
      </c>
      <c r="E33" s="49" t="s">
        <v>328</v>
      </c>
      <c r="F33" s="49" t="s">
        <v>308</v>
      </c>
      <c r="G33" s="49" t="s">
        <v>308</v>
      </c>
      <c r="H33" s="49" t="s">
        <v>329</v>
      </c>
      <c r="I33" s="49" t="s">
        <v>330</v>
      </c>
      <c r="J33" s="49" t="s">
        <v>311</v>
      </c>
      <c r="K33" s="49" t="s">
        <v>312</v>
      </c>
      <c r="L33" s="49" t="s">
        <v>331</v>
      </c>
      <c r="M33" s="49" t="s">
        <v>332</v>
      </c>
      <c r="N33" s="49"/>
      <c r="O33" s="49" t="s">
        <v>85</v>
      </c>
      <c r="P33" s="49" t="s">
        <v>86</v>
      </c>
      <c r="Q33" s="49"/>
      <c r="R33" s="49"/>
      <c r="S33" s="49"/>
      <c r="T33" s="49"/>
      <c r="U33" s="49"/>
      <c r="V33" s="49"/>
      <c r="W33" s="49"/>
      <c r="X33" s="49"/>
      <c r="Y33" s="49"/>
      <c r="Z33" s="49">
        <v>3</v>
      </c>
      <c r="AA33" s="114">
        <f t="shared" si="7"/>
        <v>3</v>
      </c>
      <c r="AB33" s="101" t="s">
        <v>109</v>
      </c>
      <c r="AC33" s="49">
        <v>2</v>
      </c>
      <c r="AD33" s="101" t="str">
        <f t="shared" si="0"/>
        <v>Low</v>
      </c>
      <c r="AE33" s="101">
        <f t="shared" si="4"/>
        <v>6</v>
      </c>
      <c r="AF33" s="102" t="str">
        <f t="shared" si="1"/>
        <v>Very Low</v>
      </c>
      <c r="AG33" s="50" t="s">
        <v>315</v>
      </c>
      <c r="AH33" s="51">
        <v>1</v>
      </c>
      <c r="AI33" s="137"/>
      <c r="AJ33" s="49"/>
      <c r="AK33" s="49"/>
      <c r="AL33" s="101" t="str">
        <f t="shared" si="2"/>
        <v>Very Low</v>
      </c>
      <c r="AM33" s="49">
        <v>1</v>
      </c>
      <c r="AN33" s="101" t="str">
        <f t="shared" si="5"/>
        <v>Very Low</v>
      </c>
      <c r="AO33" s="101">
        <f t="shared" si="6"/>
        <v>1</v>
      </c>
      <c r="AP33" s="101" t="str">
        <f t="shared" si="3"/>
        <v>Very Low</v>
      </c>
      <c r="AQ33" s="49" t="s">
        <v>89</v>
      </c>
      <c r="AR33" s="49" t="s">
        <v>333</v>
      </c>
      <c r="AS33" s="49" t="s">
        <v>317</v>
      </c>
      <c r="AT33" s="55" t="s">
        <v>318</v>
      </c>
      <c r="AU33" s="53" t="s">
        <v>140</v>
      </c>
      <c r="AV33" s="56">
        <v>45574</v>
      </c>
      <c r="AW33" s="54"/>
    </row>
    <row r="34" spans="1:49" s="3" customFormat="1" ht="90" x14ac:dyDescent="0.2">
      <c r="A34" s="49">
        <v>33</v>
      </c>
      <c r="B34" s="49" t="s">
        <v>334</v>
      </c>
      <c r="C34" s="49" t="s">
        <v>18</v>
      </c>
      <c r="D34" s="49" t="s">
        <v>226</v>
      </c>
      <c r="E34" s="49" t="s">
        <v>335</v>
      </c>
      <c r="F34" s="49" t="s">
        <v>308</v>
      </c>
      <c r="G34" s="49" t="s">
        <v>308</v>
      </c>
      <c r="H34" s="49" t="s">
        <v>336</v>
      </c>
      <c r="I34" s="49" t="s">
        <v>337</v>
      </c>
      <c r="J34" s="49" t="s">
        <v>311</v>
      </c>
      <c r="K34" s="49" t="s">
        <v>312</v>
      </c>
      <c r="L34" s="49" t="s">
        <v>338</v>
      </c>
      <c r="M34" s="49" t="s">
        <v>339</v>
      </c>
      <c r="N34" s="49"/>
      <c r="O34" s="49" t="s">
        <v>85</v>
      </c>
      <c r="P34" s="49" t="s">
        <v>86</v>
      </c>
      <c r="Q34" s="49"/>
      <c r="R34" s="49">
        <v>1</v>
      </c>
      <c r="S34" s="49"/>
      <c r="T34" s="49"/>
      <c r="U34" s="49"/>
      <c r="V34" s="49"/>
      <c r="W34" s="49"/>
      <c r="X34" s="49"/>
      <c r="Y34" s="49"/>
      <c r="Z34" s="49">
        <v>3</v>
      </c>
      <c r="AA34" s="114">
        <f t="shared" si="7"/>
        <v>3</v>
      </c>
      <c r="AB34" s="101" t="s">
        <v>109</v>
      </c>
      <c r="AC34" s="49">
        <v>1</v>
      </c>
      <c r="AD34" s="101" t="str">
        <f t="shared" si="0"/>
        <v>Very Low</v>
      </c>
      <c r="AE34" s="101">
        <f t="shared" si="4"/>
        <v>3</v>
      </c>
      <c r="AF34" s="102" t="str">
        <f t="shared" si="1"/>
        <v>Very Low</v>
      </c>
      <c r="AG34" s="50" t="s">
        <v>150</v>
      </c>
      <c r="AH34" s="51">
        <v>1</v>
      </c>
      <c r="AI34" s="137"/>
      <c r="AJ34" s="49"/>
      <c r="AK34" s="49"/>
      <c r="AL34" s="101" t="str">
        <f t="shared" si="2"/>
        <v>Very Low</v>
      </c>
      <c r="AM34" s="49">
        <v>1</v>
      </c>
      <c r="AN34" s="101" t="str">
        <f t="shared" si="5"/>
        <v>Very Low</v>
      </c>
      <c r="AO34" s="101">
        <f t="shared" si="6"/>
        <v>1</v>
      </c>
      <c r="AP34" s="101" t="str">
        <f t="shared" si="3"/>
        <v>Very Low</v>
      </c>
      <c r="AQ34" s="49" t="s">
        <v>89</v>
      </c>
      <c r="AR34" s="49" t="s">
        <v>340</v>
      </c>
      <c r="AS34" s="49" t="s">
        <v>317</v>
      </c>
      <c r="AT34" s="55" t="s">
        <v>318</v>
      </c>
      <c r="AU34" s="53" t="s">
        <v>140</v>
      </c>
      <c r="AV34" s="56">
        <v>45574</v>
      </c>
      <c r="AW34" s="54"/>
    </row>
    <row r="35" spans="1:49" s="3" customFormat="1" ht="135" x14ac:dyDescent="0.2">
      <c r="A35" s="49">
        <v>34</v>
      </c>
      <c r="B35" s="49" t="s">
        <v>341</v>
      </c>
      <c r="C35" s="49" t="s">
        <v>18</v>
      </c>
      <c r="D35" s="49" t="s">
        <v>226</v>
      </c>
      <c r="E35" s="49" t="s">
        <v>335</v>
      </c>
      <c r="F35" s="49" t="s">
        <v>308</v>
      </c>
      <c r="G35" s="49" t="s">
        <v>308</v>
      </c>
      <c r="H35" s="49" t="s">
        <v>342</v>
      </c>
      <c r="I35" s="49" t="s">
        <v>343</v>
      </c>
      <c r="J35" s="49" t="s">
        <v>311</v>
      </c>
      <c r="K35" s="49" t="s">
        <v>312</v>
      </c>
      <c r="L35" s="49" t="s">
        <v>344</v>
      </c>
      <c r="M35" s="49" t="s">
        <v>345</v>
      </c>
      <c r="N35" s="49"/>
      <c r="O35" s="49" t="s">
        <v>85</v>
      </c>
      <c r="P35" s="49" t="s">
        <v>86</v>
      </c>
      <c r="Q35" s="49"/>
      <c r="R35" s="49">
        <v>3</v>
      </c>
      <c r="S35" s="49"/>
      <c r="T35" s="49"/>
      <c r="U35" s="49"/>
      <c r="V35" s="49"/>
      <c r="W35" s="49"/>
      <c r="X35" s="49"/>
      <c r="Y35" s="49"/>
      <c r="Z35" s="49"/>
      <c r="AA35" s="114">
        <f t="shared" si="7"/>
        <v>3</v>
      </c>
      <c r="AB35" s="101" t="s">
        <v>295</v>
      </c>
      <c r="AC35" s="49">
        <v>4</v>
      </c>
      <c r="AD35" s="101" t="str">
        <f t="shared" si="0"/>
        <v>High</v>
      </c>
      <c r="AE35" s="101">
        <f t="shared" si="4"/>
        <v>12</v>
      </c>
      <c r="AF35" s="102" t="str">
        <f t="shared" si="1"/>
        <v>Medium</v>
      </c>
      <c r="AG35" s="50" t="s">
        <v>150</v>
      </c>
      <c r="AH35" s="51">
        <v>3</v>
      </c>
      <c r="AI35" s="137"/>
      <c r="AJ35" s="49"/>
      <c r="AK35" s="49"/>
      <c r="AL35" s="101" t="str">
        <f t="shared" si="2"/>
        <v>Medium</v>
      </c>
      <c r="AM35" s="49">
        <v>3</v>
      </c>
      <c r="AN35" s="101" t="str">
        <f t="shared" si="5"/>
        <v>Medium</v>
      </c>
      <c r="AO35" s="101">
        <f t="shared" si="6"/>
        <v>9</v>
      </c>
      <c r="AP35" s="101" t="str">
        <f t="shared" si="3"/>
        <v>Low</v>
      </c>
      <c r="AQ35" s="49" t="s">
        <v>89</v>
      </c>
      <c r="AR35" s="49" t="s">
        <v>346</v>
      </c>
      <c r="AS35" s="49" t="s">
        <v>317</v>
      </c>
      <c r="AT35" s="55" t="s">
        <v>318</v>
      </c>
      <c r="AU35" s="53" t="s">
        <v>140</v>
      </c>
      <c r="AV35" s="56">
        <v>45574</v>
      </c>
      <c r="AW35" s="54"/>
    </row>
    <row r="36" spans="1:49" s="3" customFormat="1" ht="120" x14ac:dyDescent="0.2">
      <c r="A36" s="49">
        <v>35</v>
      </c>
      <c r="B36" s="49" t="s">
        <v>347</v>
      </c>
      <c r="C36" s="49" t="s">
        <v>18</v>
      </c>
      <c r="D36" s="49" t="s">
        <v>348</v>
      </c>
      <c r="E36" s="49" t="s">
        <v>349</v>
      </c>
      <c r="F36" s="49" t="s">
        <v>308</v>
      </c>
      <c r="G36" s="49" t="s">
        <v>308</v>
      </c>
      <c r="H36" s="49" t="s">
        <v>350</v>
      </c>
      <c r="I36" s="49" t="s">
        <v>351</v>
      </c>
      <c r="J36" s="49" t="s">
        <v>311</v>
      </c>
      <c r="K36" s="49" t="s">
        <v>312</v>
      </c>
      <c r="L36" s="49" t="s">
        <v>352</v>
      </c>
      <c r="M36" s="49" t="s">
        <v>353</v>
      </c>
      <c r="N36" s="49"/>
      <c r="O36" s="49" t="s">
        <v>85</v>
      </c>
      <c r="P36" s="49" t="s">
        <v>354</v>
      </c>
      <c r="Q36" s="49" t="s">
        <v>355</v>
      </c>
      <c r="R36" s="49">
        <v>1</v>
      </c>
      <c r="S36" s="49"/>
      <c r="T36" s="49"/>
      <c r="U36" s="49"/>
      <c r="V36" s="49"/>
      <c r="W36" s="49"/>
      <c r="X36" s="49"/>
      <c r="Y36" s="49"/>
      <c r="Z36" s="49">
        <v>4</v>
      </c>
      <c r="AA36" s="114">
        <f t="shared" si="7"/>
        <v>4</v>
      </c>
      <c r="AB36" s="101" t="s">
        <v>87</v>
      </c>
      <c r="AC36" s="49">
        <v>3</v>
      </c>
      <c r="AD36" s="101" t="str">
        <f t="shared" si="0"/>
        <v>Medium</v>
      </c>
      <c r="AE36" s="101">
        <f t="shared" si="4"/>
        <v>12</v>
      </c>
      <c r="AF36" s="102" t="str">
        <f t="shared" si="1"/>
        <v>Medium</v>
      </c>
      <c r="AG36" s="50" t="s">
        <v>150</v>
      </c>
      <c r="AH36" s="51">
        <v>3</v>
      </c>
      <c r="AI36" s="137"/>
      <c r="AJ36" s="49"/>
      <c r="AK36" s="49"/>
      <c r="AL36" s="101" t="str">
        <f t="shared" si="2"/>
        <v>Medium</v>
      </c>
      <c r="AM36" s="49">
        <v>1</v>
      </c>
      <c r="AN36" s="101" t="str">
        <f t="shared" si="5"/>
        <v>Very Low</v>
      </c>
      <c r="AO36" s="101">
        <f t="shared" si="6"/>
        <v>3</v>
      </c>
      <c r="AP36" s="101" t="str">
        <f t="shared" si="3"/>
        <v>Very Low</v>
      </c>
      <c r="AQ36" s="49" t="s">
        <v>89</v>
      </c>
      <c r="AR36" s="49" t="s">
        <v>356</v>
      </c>
      <c r="AS36" s="49" t="s">
        <v>317</v>
      </c>
      <c r="AT36" s="55" t="s">
        <v>318</v>
      </c>
      <c r="AU36" s="53" t="s">
        <v>140</v>
      </c>
      <c r="AV36" s="56">
        <v>45574</v>
      </c>
      <c r="AW36" s="54"/>
    </row>
    <row r="37" spans="1:49" s="3" customFormat="1" ht="75" x14ac:dyDescent="0.2">
      <c r="A37" s="49">
        <v>36</v>
      </c>
      <c r="B37" s="49" t="s">
        <v>357</v>
      </c>
      <c r="C37" s="49" t="s">
        <v>18</v>
      </c>
      <c r="D37" s="49" t="s">
        <v>226</v>
      </c>
      <c r="E37" s="49" t="s">
        <v>335</v>
      </c>
      <c r="F37" s="49" t="s">
        <v>308</v>
      </c>
      <c r="G37" s="49" t="s">
        <v>308</v>
      </c>
      <c r="H37" s="49" t="s">
        <v>358</v>
      </c>
      <c r="I37" s="49" t="s">
        <v>359</v>
      </c>
      <c r="J37" s="49" t="s">
        <v>311</v>
      </c>
      <c r="K37" s="49" t="s">
        <v>312</v>
      </c>
      <c r="L37" s="49" t="s">
        <v>352</v>
      </c>
      <c r="M37" s="49" t="s">
        <v>360</v>
      </c>
      <c r="N37" s="49"/>
      <c r="O37" s="49" t="s">
        <v>85</v>
      </c>
      <c r="P37" s="49" t="s">
        <v>354</v>
      </c>
      <c r="Q37" s="49" t="s">
        <v>355</v>
      </c>
      <c r="R37" s="49">
        <v>1</v>
      </c>
      <c r="S37" s="49"/>
      <c r="T37" s="49"/>
      <c r="U37" s="49"/>
      <c r="V37" s="49"/>
      <c r="W37" s="49"/>
      <c r="X37" s="49"/>
      <c r="Y37" s="49"/>
      <c r="Z37" s="49">
        <v>3</v>
      </c>
      <c r="AA37" s="114">
        <f t="shared" si="7"/>
        <v>3</v>
      </c>
      <c r="AB37" s="101" t="s">
        <v>109</v>
      </c>
      <c r="AC37" s="49">
        <v>3</v>
      </c>
      <c r="AD37" s="101" t="str">
        <f t="shared" si="0"/>
        <v>Medium</v>
      </c>
      <c r="AE37" s="101">
        <f t="shared" si="4"/>
        <v>9</v>
      </c>
      <c r="AF37" s="102" t="str">
        <f t="shared" si="1"/>
        <v>Low</v>
      </c>
      <c r="AG37" s="50" t="s">
        <v>88</v>
      </c>
      <c r="AH37" s="51">
        <v>3</v>
      </c>
      <c r="AI37" s="137"/>
      <c r="AJ37" s="49"/>
      <c r="AK37" s="49"/>
      <c r="AL37" s="101" t="str">
        <f t="shared" si="2"/>
        <v>Medium</v>
      </c>
      <c r="AM37" s="49">
        <v>2</v>
      </c>
      <c r="AN37" s="101" t="str">
        <f t="shared" si="5"/>
        <v>Low</v>
      </c>
      <c r="AO37" s="101">
        <f t="shared" si="6"/>
        <v>6</v>
      </c>
      <c r="AP37" s="101" t="str">
        <f t="shared" si="3"/>
        <v>Very Low</v>
      </c>
      <c r="AQ37" s="49" t="s">
        <v>89</v>
      </c>
      <c r="AR37" s="49" t="s">
        <v>361</v>
      </c>
      <c r="AS37" s="49" t="s">
        <v>317</v>
      </c>
      <c r="AT37" s="55" t="s">
        <v>318</v>
      </c>
      <c r="AU37" s="53" t="s">
        <v>140</v>
      </c>
      <c r="AV37" s="56">
        <v>45574</v>
      </c>
      <c r="AW37" s="54"/>
    </row>
    <row r="38" spans="1:49" s="3" customFormat="1" ht="75" x14ac:dyDescent="0.2">
      <c r="A38" s="49">
        <v>37</v>
      </c>
      <c r="B38" s="49" t="s">
        <v>362</v>
      </c>
      <c r="C38" s="49" t="s">
        <v>363</v>
      </c>
      <c r="D38" s="49" t="s">
        <v>19</v>
      </c>
      <c r="E38" s="49" t="s">
        <v>364</v>
      </c>
      <c r="F38" s="49" t="s">
        <v>365</v>
      </c>
      <c r="G38" s="49" t="s">
        <v>366</v>
      </c>
      <c r="H38" s="49" t="s">
        <v>367</v>
      </c>
      <c r="I38" s="49" t="s">
        <v>368</v>
      </c>
      <c r="J38" s="49" t="s">
        <v>369</v>
      </c>
      <c r="K38" s="49" t="s">
        <v>370</v>
      </c>
      <c r="L38" s="49" t="s">
        <v>371</v>
      </c>
      <c r="M38" s="49" t="s">
        <v>372</v>
      </c>
      <c r="N38" s="49"/>
      <c r="O38" s="49" t="s">
        <v>85</v>
      </c>
      <c r="P38" s="49" t="s">
        <v>86</v>
      </c>
      <c r="Q38" s="49"/>
      <c r="R38" s="49">
        <v>1</v>
      </c>
      <c r="S38" s="49">
        <v>1</v>
      </c>
      <c r="T38" s="49">
        <v>1</v>
      </c>
      <c r="U38" s="49">
        <v>1</v>
      </c>
      <c r="V38" s="49">
        <v>1</v>
      </c>
      <c r="W38" s="49">
        <v>4</v>
      </c>
      <c r="X38" s="49">
        <v>4</v>
      </c>
      <c r="Y38" s="49">
        <v>1</v>
      </c>
      <c r="Z38" s="49">
        <v>1</v>
      </c>
      <c r="AA38" s="114">
        <f t="shared" si="7"/>
        <v>4</v>
      </c>
      <c r="AB38" s="101" t="s">
        <v>87</v>
      </c>
      <c r="AC38" s="49">
        <v>5</v>
      </c>
      <c r="AD38" s="101" t="str">
        <f t="shared" si="0"/>
        <v>Very High</v>
      </c>
      <c r="AE38" s="101">
        <f t="shared" si="4"/>
        <v>20</v>
      </c>
      <c r="AF38" s="102" t="str">
        <f t="shared" si="1"/>
        <v>Very High</v>
      </c>
      <c r="AG38" s="50" t="s">
        <v>373</v>
      </c>
      <c r="AH38" s="51">
        <v>5</v>
      </c>
      <c r="AI38" s="137"/>
      <c r="AJ38" s="49"/>
      <c r="AK38" s="49"/>
      <c r="AL38" s="101" t="str">
        <f t="shared" si="2"/>
        <v>Very High</v>
      </c>
      <c r="AM38" s="49">
        <v>3</v>
      </c>
      <c r="AN38" s="101" t="str">
        <f t="shared" si="5"/>
        <v>Medium</v>
      </c>
      <c r="AO38" s="101">
        <f t="shared" si="6"/>
        <v>15</v>
      </c>
      <c r="AP38" s="101" t="str">
        <f t="shared" si="3"/>
        <v>High</v>
      </c>
      <c r="AQ38" s="49" t="s">
        <v>89</v>
      </c>
      <c r="AR38" s="49" t="s">
        <v>374</v>
      </c>
      <c r="AS38" s="49" t="s">
        <v>375</v>
      </c>
      <c r="AT38" s="147">
        <v>45657</v>
      </c>
      <c r="AU38" s="53" t="s">
        <v>140</v>
      </c>
      <c r="AV38" s="52">
        <v>45718</v>
      </c>
      <c r="AW38" s="54"/>
    </row>
    <row r="39" spans="1:49" s="3" customFormat="1" ht="90" x14ac:dyDescent="0.2">
      <c r="A39" s="49">
        <v>38</v>
      </c>
      <c r="B39" s="49" t="s">
        <v>376</v>
      </c>
      <c r="C39" s="49" t="s">
        <v>18</v>
      </c>
      <c r="D39" s="49" t="s">
        <v>19</v>
      </c>
      <c r="E39" s="49" t="s">
        <v>377</v>
      </c>
      <c r="F39" s="49" t="s">
        <v>365</v>
      </c>
      <c r="G39" s="49" t="s">
        <v>366</v>
      </c>
      <c r="H39" s="49" t="s">
        <v>378</v>
      </c>
      <c r="I39" s="49" t="s">
        <v>379</v>
      </c>
      <c r="J39" s="49" t="s">
        <v>369</v>
      </c>
      <c r="K39" s="49" t="s">
        <v>370</v>
      </c>
      <c r="L39" s="49" t="s">
        <v>380</v>
      </c>
      <c r="M39" s="49" t="s">
        <v>381</v>
      </c>
      <c r="N39" s="49"/>
      <c r="O39" s="49" t="s">
        <v>265</v>
      </c>
      <c r="P39" s="49" t="s">
        <v>86</v>
      </c>
      <c r="Q39" s="49"/>
      <c r="R39" s="49">
        <v>1</v>
      </c>
      <c r="S39" s="49">
        <v>4</v>
      </c>
      <c r="T39" s="49">
        <v>5</v>
      </c>
      <c r="U39" s="49">
        <v>1</v>
      </c>
      <c r="V39" s="49">
        <v>1</v>
      </c>
      <c r="W39" s="49">
        <v>1</v>
      </c>
      <c r="X39" s="49">
        <v>1</v>
      </c>
      <c r="Y39" s="49">
        <v>1</v>
      </c>
      <c r="Z39" s="49">
        <v>1</v>
      </c>
      <c r="AA39" s="114">
        <f t="shared" si="7"/>
        <v>5</v>
      </c>
      <c r="AB39" s="101" t="s">
        <v>100</v>
      </c>
      <c r="AC39" s="49">
        <v>3</v>
      </c>
      <c r="AD39" s="101" t="str">
        <f t="shared" si="0"/>
        <v>Medium</v>
      </c>
      <c r="AE39" s="101">
        <f t="shared" si="4"/>
        <v>15</v>
      </c>
      <c r="AF39" s="102" t="str">
        <f t="shared" si="1"/>
        <v>High</v>
      </c>
      <c r="AG39" s="50" t="s">
        <v>382</v>
      </c>
      <c r="AH39" s="51">
        <v>3</v>
      </c>
      <c r="AI39" s="137"/>
      <c r="AJ39" s="49"/>
      <c r="AK39" s="49"/>
      <c r="AL39" s="101" t="str">
        <f t="shared" si="2"/>
        <v>Medium</v>
      </c>
      <c r="AM39" s="49">
        <v>2</v>
      </c>
      <c r="AN39" s="101" t="str">
        <f t="shared" si="5"/>
        <v>Low</v>
      </c>
      <c r="AO39" s="101">
        <f t="shared" si="6"/>
        <v>6</v>
      </c>
      <c r="AP39" s="101" t="str">
        <f t="shared" si="3"/>
        <v>Very Low</v>
      </c>
      <c r="AQ39" s="49" t="s">
        <v>89</v>
      </c>
      <c r="AR39" s="49" t="s">
        <v>383</v>
      </c>
      <c r="AS39" s="49" t="s">
        <v>375</v>
      </c>
      <c r="AT39" s="147">
        <v>45657</v>
      </c>
      <c r="AU39" s="53" t="s">
        <v>140</v>
      </c>
      <c r="AV39" s="52">
        <v>45718</v>
      </c>
      <c r="AW39" s="54"/>
    </row>
    <row r="40" spans="1:49" s="3" customFormat="1" ht="75" x14ac:dyDescent="0.2">
      <c r="A40" s="49">
        <v>39</v>
      </c>
      <c r="B40" s="49" t="s">
        <v>384</v>
      </c>
      <c r="C40" s="49" t="s">
        <v>363</v>
      </c>
      <c r="D40" s="49" t="s">
        <v>19</v>
      </c>
      <c r="E40" s="49" t="s">
        <v>385</v>
      </c>
      <c r="F40" s="49" t="s">
        <v>365</v>
      </c>
      <c r="G40" s="49" t="s">
        <v>366</v>
      </c>
      <c r="H40" s="49" t="s">
        <v>386</v>
      </c>
      <c r="I40" s="49" t="s">
        <v>387</v>
      </c>
      <c r="J40" s="49" t="s">
        <v>369</v>
      </c>
      <c r="K40" s="49" t="s">
        <v>370</v>
      </c>
      <c r="L40" s="49" t="s">
        <v>388</v>
      </c>
      <c r="M40" s="49" t="s">
        <v>389</v>
      </c>
      <c r="N40" s="49"/>
      <c r="O40" s="49" t="s">
        <v>265</v>
      </c>
      <c r="P40" s="49" t="s">
        <v>86</v>
      </c>
      <c r="Q40" s="49"/>
      <c r="R40" s="49"/>
      <c r="S40" s="49">
        <v>1</v>
      </c>
      <c r="T40" s="49">
        <v>5</v>
      </c>
      <c r="U40" s="49">
        <v>1</v>
      </c>
      <c r="V40" s="49">
        <v>1</v>
      </c>
      <c r="W40" s="49">
        <v>1</v>
      </c>
      <c r="X40" s="49">
        <v>1</v>
      </c>
      <c r="Y40" s="49">
        <v>1</v>
      </c>
      <c r="Z40" s="49">
        <v>1</v>
      </c>
      <c r="AA40" s="114">
        <f t="shared" si="7"/>
        <v>5</v>
      </c>
      <c r="AB40" s="101" t="s">
        <v>100</v>
      </c>
      <c r="AC40" s="49">
        <v>2</v>
      </c>
      <c r="AD40" s="101" t="str">
        <f t="shared" si="0"/>
        <v>Low</v>
      </c>
      <c r="AE40" s="101">
        <f t="shared" si="4"/>
        <v>10</v>
      </c>
      <c r="AF40" s="102" t="str">
        <f t="shared" si="1"/>
        <v>Medium</v>
      </c>
      <c r="AG40" s="50" t="s">
        <v>382</v>
      </c>
      <c r="AH40" s="51">
        <v>3</v>
      </c>
      <c r="AI40" s="137"/>
      <c r="AJ40" s="49"/>
      <c r="AK40" s="49"/>
      <c r="AL40" s="101" t="str">
        <f t="shared" si="2"/>
        <v>Medium</v>
      </c>
      <c r="AM40" s="49">
        <v>1</v>
      </c>
      <c r="AN40" s="101" t="str">
        <f t="shared" si="5"/>
        <v>Very Low</v>
      </c>
      <c r="AO40" s="101">
        <f t="shared" si="6"/>
        <v>3</v>
      </c>
      <c r="AP40" s="101" t="str">
        <f t="shared" si="3"/>
        <v>Very Low</v>
      </c>
      <c r="AQ40" s="49" t="s">
        <v>89</v>
      </c>
      <c r="AR40" s="49" t="s">
        <v>390</v>
      </c>
      <c r="AS40" s="49" t="s">
        <v>375</v>
      </c>
      <c r="AT40" s="147">
        <v>45657</v>
      </c>
      <c r="AU40" s="53" t="s">
        <v>140</v>
      </c>
      <c r="AV40" s="52">
        <v>45718</v>
      </c>
      <c r="AW40" s="54"/>
    </row>
    <row r="41" spans="1:49" s="3" customFormat="1" ht="120" x14ac:dyDescent="0.2">
      <c r="A41" s="49">
        <v>40</v>
      </c>
      <c r="B41" s="49" t="s">
        <v>391</v>
      </c>
      <c r="C41" s="49" t="s">
        <v>18</v>
      </c>
      <c r="D41" s="49" t="s">
        <v>19</v>
      </c>
      <c r="E41" s="49" t="s">
        <v>155</v>
      </c>
      <c r="F41" s="49" t="s">
        <v>365</v>
      </c>
      <c r="G41" s="49" t="s">
        <v>366</v>
      </c>
      <c r="H41" s="49" t="s">
        <v>392</v>
      </c>
      <c r="I41" s="49" t="s">
        <v>393</v>
      </c>
      <c r="J41" s="49" t="s">
        <v>369</v>
      </c>
      <c r="K41" s="49" t="s">
        <v>370</v>
      </c>
      <c r="L41" s="49" t="s">
        <v>394</v>
      </c>
      <c r="M41" s="49" t="s">
        <v>395</v>
      </c>
      <c r="N41" s="49"/>
      <c r="O41" s="49" t="s">
        <v>125</v>
      </c>
      <c r="P41" s="49" t="s">
        <v>86</v>
      </c>
      <c r="Q41" s="49"/>
      <c r="R41" s="49">
        <v>5</v>
      </c>
      <c r="S41" s="49">
        <v>5</v>
      </c>
      <c r="T41" s="49">
        <v>5</v>
      </c>
      <c r="U41" s="49">
        <v>1</v>
      </c>
      <c r="V41" s="49">
        <v>1</v>
      </c>
      <c r="W41" s="49">
        <v>1</v>
      </c>
      <c r="X41" s="49">
        <v>1</v>
      </c>
      <c r="Y41" s="49">
        <v>1</v>
      </c>
      <c r="Z41" s="49">
        <v>1</v>
      </c>
      <c r="AA41" s="114">
        <f t="shared" si="7"/>
        <v>5</v>
      </c>
      <c r="AB41" s="101" t="s">
        <v>100</v>
      </c>
      <c r="AC41" s="49">
        <v>1</v>
      </c>
      <c r="AD41" s="101" t="str">
        <f t="shared" si="0"/>
        <v>Very Low</v>
      </c>
      <c r="AE41" s="101">
        <f t="shared" si="4"/>
        <v>5</v>
      </c>
      <c r="AF41" s="102" t="str">
        <f t="shared" si="1"/>
        <v>Very Low</v>
      </c>
      <c r="AG41" s="50" t="s">
        <v>382</v>
      </c>
      <c r="AH41" s="51">
        <v>3</v>
      </c>
      <c r="AI41" s="137"/>
      <c r="AJ41" s="49"/>
      <c r="AK41" s="49"/>
      <c r="AL41" s="101" t="str">
        <f t="shared" si="2"/>
        <v>Medium</v>
      </c>
      <c r="AM41" s="49">
        <v>1</v>
      </c>
      <c r="AN41" s="101" t="str">
        <f t="shared" si="5"/>
        <v>Very Low</v>
      </c>
      <c r="AO41" s="101">
        <f t="shared" si="6"/>
        <v>3</v>
      </c>
      <c r="AP41" s="101" t="str">
        <f t="shared" si="3"/>
        <v>Very Low</v>
      </c>
      <c r="AQ41" s="49" t="s">
        <v>89</v>
      </c>
      <c r="AR41" s="49" t="s">
        <v>383</v>
      </c>
      <c r="AS41" s="49" t="s">
        <v>375</v>
      </c>
      <c r="AT41" s="147">
        <v>45657</v>
      </c>
      <c r="AU41" s="53" t="s">
        <v>140</v>
      </c>
      <c r="AV41" s="52">
        <v>45718</v>
      </c>
      <c r="AW41" s="54"/>
    </row>
    <row r="42" spans="1:49" s="3" customFormat="1" ht="75" x14ac:dyDescent="0.2">
      <c r="A42" s="49">
        <v>41</v>
      </c>
      <c r="B42" s="49" t="s">
        <v>396</v>
      </c>
      <c r="C42" s="49" t="s">
        <v>18</v>
      </c>
      <c r="D42" s="49" t="s">
        <v>19</v>
      </c>
      <c r="E42" s="49" t="s">
        <v>397</v>
      </c>
      <c r="F42" s="49" t="s">
        <v>365</v>
      </c>
      <c r="G42" s="49" t="s">
        <v>366</v>
      </c>
      <c r="H42" s="49" t="s">
        <v>398</v>
      </c>
      <c r="I42" s="49" t="s">
        <v>399</v>
      </c>
      <c r="J42" s="49" t="s">
        <v>369</v>
      </c>
      <c r="K42" s="49" t="s">
        <v>370</v>
      </c>
      <c r="L42" s="49" t="s">
        <v>400</v>
      </c>
      <c r="M42" s="49" t="s">
        <v>401</v>
      </c>
      <c r="N42" s="49"/>
      <c r="O42" s="49" t="s">
        <v>85</v>
      </c>
      <c r="P42" s="49" t="s">
        <v>86</v>
      </c>
      <c r="Q42" s="49"/>
      <c r="R42" s="49">
        <v>2</v>
      </c>
      <c r="S42" s="49">
        <v>2</v>
      </c>
      <c r="T42" s="49">
        <v>3</v>
      </c>
      <c r="U42" s="49">
        <v>1</v>
      </c>
      <c r="V42" s="49">
        <v>1</v>
      </c>
      <c r="W42" s="49">
        <v>1</v>
      </c>
      <c r="X42" s="49">
        <v>1</v>
      </c>
      <c r="Y42" s="49">
        <v>1</v>
      </c>
      <c r="Z42" s="49">
        <v>1</v>
      </c>
      <c r="AA42" s="114">
        <f t="shared" si="7"/>
        <v>3</v>
      </c>
      <c r="AB42" s="101" t="s">
        <v>109</v>
      </c>
      <c r="AC42" s="49">
        <v>2</v>
      </c>
      <c r="AD42" s="101" t="str">
        <f>IF(AC42=1,"Very Low",IF(AC42=2,"Low",IF(AC42=3,"Medium",IF(AC42=4,"High",IF(AC42=5,"Very High",)))))</f>
        <v>Low</v>
      </c>
      <c r="AE42" s="101">
        <f t="shared" si="4"/>
        <v>6</v>
      </c>
      <c r="AF42" s="102" t="str">
        <f t="shared" si="1"/>
        <v>Very Low</v>
      </c>
      <c r="AG42" s="50" t="s">
        <v>402</v>
      </c>
      <c r="AH42" s="51">
        <v>3</v>
      </c>
      <c r="AI42" s="137"/>
      <c r="AJ42" s="49"/>
      <c r="AK42" s="49"/>
      <c r="AL42" s="101" t="str">
        <f t="shared" si="2"/>
        <v>Medium</v>
      </c>
      <c r="AM42" s="49">
        <v>1</v>
      </c>
      <c r="AN42" s="101" t="str">
        <f t="shared" si="5"/>
        <v>Very Low</v>
      </c>
      <c r="AO42" s="101">
        <f t="shared" si="6"/>
        <v>3</v>
      </c>
      <c r="AP42" s="101" t="str">
        <f t="shared" si="3"/>
        <v>Very Low</v>
      </c>
      <c r="AQ42" s="49" t="s">
        <v>89</v>
      </c>
      <c r="AR42" s="49" t="s">
        <v>403</v>
      </c>
      <c r="AS42" s="49" t="s">
        <v>375</v>
      </c>
      <c r="AT42" s="147">
        <v>45657</v>
      </c>
      <c r="AU42" s="53" t="s">
        <v>140</v>
      </c>
      <c r="AV42" s="52">
        <v>45718</v>
      </c>
      <c r="AW42" s="54"/>
    </row>
    <row r="43" spans="1:49" s="3" customFormat="1" ht="45" x14ac:dyDescent="0.2">
      <c r="A43" s="49">
        <v>42</v>
      </c>
      <c r="B43" s="49" t="s">
        <v>404</v>
      </c>
      <c r="C43" s="49" t="s">
        <v>363</v>
      </c>
      <c r="D43" s="49" t="s">
        <v>19</v>
      </c>
      <c r="E43" s="49" t="s">
        <v>364</v>
      </c>
      <c r="F43" s="49" t="s">
        <v>365</v>
      </c>
      <c r="G43" s="49" t="s">
        <v>366</v>
      </c>
      <c r="H43" s="49" t="s">
        <v>405</v>
      </c>
      <c r="I43" s="49" t="s">
        <v>406</v>
      </c>
      <c r="J43" s="49" t="s">
        <v>369</v>
      </c>
      <c r="K43" s="49" t="s">
        <v>370</v>
      </c>
      <c r="L43" s="49" t="s">
        <v>407</v>
      </c>
      <c r="M43" s="49" t="s">
        <v>408</v>
      </c>
      <c r="N43" s="49"/>
      <c r="O43" s="49" t="s">
        <v>180</v>
      </c>
      <c r="P43" s="49" t="s">
        <v>86</v>
      </c>
      <c r="Q43" s="49"/>
      <c r="R43" s="49">
        <v>1</v>
      </c>
      <c r="S43" s="49">
        <v>1</v>
      </c>
      <c r="T43" s="49">
        <v>1</v>
      </c>
      <c r="U43" s="49">
        <v>1</v>
      </c>
      <c r="V43" s="49">
        <v>1</v>
      </c>
      <c r="W43" s="49">
        <v>4</v>
      </c>
      <c r="X43" s="49">
        <v>4</v>
      </c>
      <c r="Y43" s="49">
        <v>1</v>
      </c>
      <c r="Z43" s="49">
        <v>1</v>
      </c>
      <c r="AA43" s="114">
        <f t="shared" si="7"/>
        <v>4</v>
      </c>
      <c r="AB43" s="101" t="s">
        <v>87</v>
      </c>
      <c r="AC43" s="49">
        <v>2</v>
      </c>
      <c r="AD43" s="101" t="str">
        <f>IF(AC43=1,"Very Low",IF(AC43=2,"Low",IF(AC43=3,"Medium",IF(AC43=4,"High",IF(AC43=5,"Very High",)))))</f>
        <v>Low</v>
      </c>
      <c r="AE43" s="101">
        <f t="shared" si="4"/>
        <v>8</v>
      </c>
      <c r="AF43" s="102" t="str">
        <f t="shared" si="1"/>
        <v>Low</v>
      </c>
      <c r="AG43" s="50" t="s">
        <v>409</v>
      </c>
      <c r="AH43" s="51">
        <v>4</v>
      </c>
      <c r="AI43" s="137"/>
      <c r="AJ43" s="49"/>
      <c r="AK43" s="49"/>
      <c r="AL43" s="101" t="str">
        <f t="shared" si="2"/>
        <v>High</v>
      </c>
      <c r="AM43" s="49">
        <v>2</v>
      </c>
      <c r="AN43" s="101" t="str">
        <f t="shared" si="5"/>
        <v>Low</v>
      </c>
      <c r="AO43" s="101">
        <f t="shared" si="6"/>
        <v>8</v>
      </c>
      <c r="AP43" s="101" t="str">
        <f t="shared" si="3"/>
        <v>Low</v>
      </c>
      <c r="AQ43" s="49" t="s">
        <v>89</v>
      </c>
      <c r="AR43" s="49" t="s">
        <v>410</v>
      </c>
      <c r="AS43" s="49" t="s">
        <v>375</v>
      </c>
      <c r="AT43" s="147">
        <v>45657</v>
      </c>
      <c r="AU43" s="53" t="s">
        <v>140</v>
      </c>
      <c r="AV43" s="52">
        <v>45718</v>
      </c>
      <c r="AW43" s="54"/>
    </row>
    <row r="44" spans="1:49" s="3" customFormat="1" ht="60" x14ac:dyDescent="0.2">
      <c r="A44" s="49">
        <v>43</v>
      </c>
      <c r="B44" s="49" t="s">
        <v>411</v>
      </c>
      <c r="C44" s="49" t="s">
        <v>363</v>
      </c>
      <c r="D44" s="49" t="s">
        <v>19</v>
      </c>
      <c r="E44" s="49" t="s">
        <v>364</v>
      </c>
      <c r="F44" s="49" t="s">
        <v>365</v>
      </c>
      <c r="G44" s="49" t="s">
        <v>366</v>
      </c>
      <c r="H44" s="49" t="s">
        <v>412</v>
      </c>
      <c r="I44" s="49" t="s">
        <v>413</v>
      </c>
      <c r="J44" s="49" t="s">
        <v>369</v>
      </c>
      <c r="K44" s="49" t="s">
        <v>370</v>
      </c>
      <c r="L44" s="49" t="s">
        <v>414</v>
      </c>
      <c r="M44" s="49" t="s">
        <v>415</v>
      </c>
      <c r="N44" s="49"/>
      <c r="O44" s="49" t="s">
        <v>180</v>
      </c>
      <c r="P44" s="49" t="s">
        <v>86</v>
      </c>
      <c r="Q44" s="49"/>
      <c r="R44" s="49">
        <v>1</v>
      </c>
      <c r="S44" s="49">
        <v>1</v>
      </c>
      <c r="T44" s="49">
        <v>3</v>
      </c>
      <c r="U44" s="49">
        <v>1</v>
      </c>
      <c r="V44" s="49">
        <v>1</v>
      </c>
      <c r="W44" s="49">
        <v>1</v>
      </c>
      <c r="X44" s="49">
        <v>1</v>
      </c>
      <c r="Y44" s="49">
        <v>1</v>
      </c>
      <c r="Z44" s="49">
        <v>1</v>
      </c>
      <c r="AA44" s="114">
        <f t="shared" si="7"/>
        <v>3</v>
      </c>
      <c r="AB44" s="101" t="s">
        <v>109</v>
      </c>
      <c r="AC44" s="49">
        <v>1</v>
      </c>
      <c r="AD44" s="101" t="str">
        <f t="shared" si="0"/>
        <v>Very Low</v>
      </c>
      <c r="AE44" s="101">
        <f t="shared" si="4"/>
        <v>3</v>
      </c>
      <c r="AF44" s="102" t="str">
        <f t="shared" si="1"/>
        <v>Very Low</v>
      </c>
      <c r="AG44" s="50" t="s">
        <v>409</v>
      </c>
      <c r="AH44" s="51">
        <v>2</v>
      </c>
      <c r="AI44" s="137"/>
      <c r="AJ44" s="49"/>
      <c r="AK44" s="49"/>
      <c r="AL44" s="101" t="str">
        <f t="shared" si="2"/>
        <v>Low</v>
      </c>
      <c r="AM44" s="49">
        <v>1</v>
      </c>
      <c r="AN44" s="101" t="str">
        <f t="shared" si="5"/>
        <v>Very Low</v>
      </c>
      <c r="AO44" s="101">
        <f t="shared" si="6"/>
        <v>2</v>
      </c>
      <c r="AP44" s="101" t="str">
        <f t="shared" si="3"/>
        <v>Very Low</v>
      </c>
      <c r="AQ44" s="49" t="s">
        <v>89</v>
      </c>
      <c r="AR44" s="49" t="s">
        <v>410</v>
      </c>
      <c r="AS44" s="49" t="s">
        <v>375</v>
      </c>
      <c r="AT44" s="147">
        <v>45657</v>
      </c>
      <c r="AU44" s="53" t="s">
        <v>140</v>
      </c>
      <c r="AV44" s="52">
        <v>45718</v>
      </c>
      <c r="AW44" s="54"/>
    </row>
    <row r="45" spans="1:49" s="3" customFormat="1" ht="300" x14ac:dyDescent="0.2">
      <c r="A45" s="49">
        <v>44</v>
      </c>
      <c r="B45" s="49" t="s">
        <v>416</v>
      </c>
      <c r="C45" s="49" t="s">
        <v>18</v>
      </c>
      <c r="D45" s="49" t="s">
        <v>417</v>
      </c>
      <c r="E45" s="49" t="s">
        <v>418</v>
      </c>
      <c r="F45" s="49" t="s">
        <v>419</v>
      </c>
      <c r="G45" s="49" t="s">
        <v>420</v>
      </c>
      <c r="H45" s="49" t="s">
        <v>421</v>
      </c>
      <c r="I45" s="49" t="s">
        <v>422</v>
      </c>
      <c r="J45" s="49" t="s">
        <v>423</v>
      </c>
      <c r="K45" s="49" t="s">
        <v>424</v>
      </c>
      <c r="L45" s="49" t="s">
        <v>425</v>
      </c>
      <c r="M45" s="49" t="s">
        <v>426</v>
      </c>
      <c r="N45" s="49"/>
      <c r="O45" s="49" t="s">
        <v>85</v>
      </c>
      <c r="P45" s="49" t="s">
        <v>427</v>
      </c>
      <c r="Q45" s="49" t="s">
        <v>428</v>
      </c>
      <c r="R45" s="49">
        <v>1</v>
      </c>
      <c r="S45" s="49">
        <v>1</v>
      </c>
      <c r="T45" s="49"/>
      <c r="U45" s="49">
        <v>1</v>
      </c>
      <c r="V45" s="49"/>
      <c r="W45" s="49">
        <v>2</v>
      </c>
      <c r="X45" s="49">
        <v>2</v>
      </c>
      <c r="Y45" s="49">
        <v>2</v>
      </c>
      <c r="Z45" s="49">
        <v>1</v>
      </c>
      <c r="AA45" s="114">
        <f t="shared" si="7"/>
        <v>2</v>
      </c>
      <c r="AB45" s="101" t="s">
        <v>118</v>
      </c>
      <c r="AC45" s="49">
        <v>2</v>
      </c>
      <c r="AD45" s="101" t="str">
        <f t="shared" si="0"/>
        <v>Low</v>
      </c>
      <c r="AE45" s="101">
        <f t="shared" si="4"/>
        <v>4</v>
      </c>
      <c r="AF45" s="102" t="str">
        <f t="shared" si="1"/>
        <v>Very Low</v>
      </c>
      <c r="AG45" s="50" t="s">
        <v>88</v>
      </c>
      <c r="AH45" s="51">
        <v>1</v>
      </c>
      <c r="AI45" s="137"/>
      <c r="AJ45" s="49"/>
      <c r="AK45" s="49"/>
      <c r="AL45" s="101" t="str">
        <f t="shared" si="2"/>
        <v>Very Low</v>
      </c>
      <c r="AM45" s="49">
        <v>1</v>
      </c>
      <c r="AN45" s="101" t="str">
        <f t="shared" si="5"/>
        <v>Very Low</v>
      </c>
      <c r="AO45" s="101">
        <f t="shared" si="6"/>
        <v>1</v>
      </c>
      <c r="AP45" s="101" t="str">
        <f t="shared" si="3"/>
        <v>Very Low</v>
      </c>
      <c r="AQ45" s="49" t="s">
        <v>429</v>
      </c>
      <c r="AR45" s="49" t="s">
        <v>430</v>
      </c>
      <c r="AS45" s="49" t="s">
        <v>431</v>
      </c>
      <c r="AT45" s="55">
        <v>45747</v>
      </c>
      <c r="AU45" s="53" t="s">
        <v>140</v>
      </c>
      <c r="AV45" s="52">
        <v>45718</v>
      </c>
      <c r="AW45" s="54" t="s">
        <v>432</v>
      </c>
    </row>
    <row r="46" spans="1:49" s="3" customFormat="1" ht="120" x14ac:dyDescent="0.2">
      <c r="A46" s="49">
        <v>45</v>
      </c>
      <c r="B46" s="49" t="s">
        <v>433</v>
      </c>
      <c r="C46" s="49" t="s">
        <v>212</v>
      </c>
      <c r="D46" s="49" t="s">
        <v>417</v>
      </c>
      <c r="E46" s="49" t="s">
        <v>434</v>
      </c>
      <c r="F46" s="49" t="s">
        <v>435</v>
      </c>
      <c r="G46" s="49" t="s">
        <v>420</v>
      </c>
      <c r="H46" s="49" t="s">
        <v>436</v>
      </c>
      <c r="I46" s="49" t="s">
        <v>437</v>
      </c>
      <c r="J46" s="49" t="s">
        <v>438</v>
      </c>
      <c r="K46" s="49" t="s">
        <v>424</v>
      </c>
      <c r="L46" s="49" t="s">
        <v>439</v>
      </c>
      <c r="M46" s="49" t="s">
        <v>440</v>
      </c>
      <c r="N46" s="49"/>
      <c r="O46" s="49" t="s">
        <v>194</v>
      </c>
      <c r="P46" s="49" t="s">
        <v>441</v>
      </c>
      <c r="Q46" s="49" t="s">
        <v>442</v>
      </c>
      <c r="R46" s="49">
        <v>4</v>
      </c>
      <c r="S46" s="49">
        <v>3</v>
      </c>
      <c r="T46" s="49">
        <v>3</v>
      </c>
      <c r="U46" s="49"/>
      <c r="V46" s="49">
        <v>2</v>
      </c>
      <c r="W46" s="49">
        <v>3</v>
      </c>
      <c r="X46" s="49">
        <v>5</v>
      </c>
      <c r="Y46" s="49">
        <v>4</v>
      </c>
      <c r="Z46" s="49">
        <v>4</v>
      </c>
      <c r="AA46" s="114">
        <f t="shared" si="7"/>
        <v>5</v>
      </c>
      <c r="AB46" s="101" t="s">
        <v>87</v>
      </c>
      <c r="AC46" s="49">
        <v>2</v>
      </c>
      <c r="AD46" s="101" t="str">
        <f t="shared" si="0"/>
        <v>Low</v>
      </c>
      <c r="AE46" s="101">
        <f t="shared" si="4"/>
        <v>10</v>
      </c>
      <c r="AF46" s="102" t="str">
        <f t="shared" si="1"/>
        <v>Medium</v>
      </c>
      <c r="AG46" s="50" t="s">
        <v>88</v>
      </c>
      <c r="AH46" s="51">
        <v>2</v>
      </c>
      <c r="AI46" s="137"/>
      <c r="AJ46" s="49"/>
      <c r="AK46" s="49"/>
      <c r="AL46" s="101" t="str">
        <f t="shared" si="2"/>
        <v>Low</v>
      </c>
      <c r="AM46" s="49">
        <v>1</v>
      </c>
      <c r="AN46" s="101" t="str">
        <f t="shared" si="5"/>
        <v>Very Low</v>
      </c>
      <c r="AO46" s="101">
        <f t="shared" si="6"/>
        <v>2</v>
      </c>
      <c r="AP46" s="101" t="str">
        <f t="shared" si="3"/>
        <v>Very Low</v>
      </c>
      <c r="AQ46" s="49" t="s">
        <v>89</v>
      </c>
      <c r="AR46" s="49" t="s">
        <v>443</v>
      </c>
      <c r="AS46" s="49" t="s">
        <v>431</v>
      </c>
      <c r="AT46" s="147" t="s">
        <v>444</v>
      </c>
      <c r="AU46" s="53" t="s">
        <v>140</v>
      </c>
      <c r="AV46" s="52">
        <v>45718</v>
      </c>
      <c r="AW46" s="54" t="s">
        <v>445</v>
      </c>
    </row>
    <row r="47" spans="1:49" s="32" customFormat="1" ht="345" x14ac:dyDescent="0.2">
      <c r="A47" s="49">
        <v>46</v>
      </c>
      <c r="B47" s="49" t="s">
        <v>446</v>
      </c>
      <c r="C47" s="49" t="s">
        <v>447</v>
      </c>
      <c r="D47" s="49" t="s">
        <v>417</v>
      </c>
      <c r="E47" s="49" t="s">
        <v>448</v>
      </c>
      <c r="F47" s="49" t="s">
        <v>435</v>
      </c>
      <c r="G47" s="49" t="s">
        <v>420</v>
      </c>
      <c r="H47" s="49" t="s">
        <v>449</v>
      </c>
      <c r="I47" s="49" t="s">
        <v>450</v>
      </c>
      <c r="J47" s="49" t="s">
        <v>438</v>
      </c>
      <c r="K47" s="49" t="s">
        <v>451</v>
      </c>
      <c r="L47" s="49" t="s">
        <v>452</v>
      </c>
      <c r="M47" s="49" t="s">
        <v>453</v>
      </c>
      <c r="N47" s="49"/>
      <c r="O47" s="49" t="s">
        <v>194</v>
      </c>
      <c r="P47" s="49" t="s">
        <v>441</v>
      </c>
      <c r="Q47" s="49" t="s">
        <v>454</v>
      </c>
      <c r="R47" s="49">
        <v>4</v>
      </c>
      <c r="S47" s="49">
        <v>1</v>
      </c>
      <c r="T47" s="49">
        <v>1</v>
      </c>
      <c r="U47" s="49">
        <v>1</v>
      </c>
      <c r="V47" s="49"/>
      <c r="W47" s="49">
        <v>1</v>
      </c>
      <c r="X47" s="49">
        <v>3</v>
      </c>
      <c r="Y47" s="49">
        <v>3</v>
      </c>
      <c r="Z47" s="49">
        <v>2</v>
      </c>
      <c r="AA47" s="114">
        <f t="shared" si="7"/>
        <v>4</v>
      </c>
      <c r="AB47" s="101" t="s">
        <v>87</v>
      </c>
      <c r="AC47" s="49">
        <v>2</v>
      </c>
      <c r="AD47" s="101" t="str">
        <f t="shared" si="0"/>
        <v>Low</v>
      </c>
      <c r="AE47" s="101">
        <f t="shared" si="4"/>
        <v>8</v>
      </c>
      <c r="AF47" s="102" t="str">
        <f t="shared" si="1"/>
        <v>Low</v>
      </c>
      <c r="AG47" s="50" t="s">
        <v>150</v>
      </c>
      <c r="AH47" s="51">
        <v>2</v>
      </c>
      <c r="AI47" s="137"/>
      <c r="AJ47" s="49"/>
      <c r="AK47" s="49"/>
      <c r="AL47" s="101" t="str">
        <f t="shared" si="2"/>
        <v>Low</v>
      </c>
      <c r="AM47" s="49">
        <v>1</v>
      </c>
      <c r="AN47" s="101" t="str">
        <f t="shared" si="5"/>
        <v>Very Low</v>
      </c>
      <c r="AO47" s="101">
        <f t="shared" si="6"/>
        <v>2</v>
      </c>
      <c r="AP47" s="101" t="str">
        <f t="shared" si="3"/>
        <v>Very Low</v>
      </c>
      <c r="AQ47" s="49" t="s">
        <v>89</v>
      </c>
      <c r="AR47" s="49" t="s">
        <v>455</v>
      </c>
      <c r="AS47" s="49" t="s">
        <v>431</v>
      </c>
      <c r="AT47" s="55">
        <v>45747</v>
      </c>
      <c r="AU47" s="53" t="s">
        <v>140</v>
      </c>
      <c r="AV47" s="52">
        <v>45718</v>
      </c>
      <c r="AW47" s="54" t="s">
        <v>432</v>
      </c>
    </row>
    <row r="48" spans="1:49" s="32" customFormat="1" ht="270" x14ac:dyDescent="0.2">
      <c r="A48" s="49">
        <v>47</v>
      </c>
      <c r="B48" s="49" t="s">
        <v>456</v>
      </c>
      <c r="C48" s="49" t="s">
        <v>25</v>
      </c>
      <c r="D48" s="49" t="s">
        <v>25</v>
      </c>
      <c r="E48" s="49" t="s">
        <v>307</v>
      </c>
      <c r="F48" s="49" t="s">
        <v>457</v>
      </c>
      <c r="G48" s="49" t="s">
        <v>458</v>
      </c>
      <c r="H48" s="49" t="s">
        <v>459</v>
      </c>
      <c r="I48" s="49" t="s">
        <v>460</v>
      </c>
      <c r="J48" s="49" t="s">
        <v>461</v>
      </c>
      <c r="K48" s="49" t="s">
        <v>461</v>
      </c>
      <c r="L48" s="49" t="s">
        <v>462</v>
      </c>
      <c r="M48" s="49" t="s">
        <v>463</v>
      </c>
      <c r="N48" s="49" t="s">
        <v>464</v>
      </c>
      <c r="O48" s="49" t="s">
        <v>85</v>
      </c>
      <c r="P48" s="49" t="s">
        <v>465</v>
      </c>
      <c r="Q48" s="49" t="s">
        <v>466</v>
      </c>
      <c r="R48" s="49">
        <v>5</v>
      </c>
      <c r="S48" s="49">
        <v>1</v>
      </c>
      <c r="T48" s="49">
        <v>1</v>
      </c>
      <c r="U48" s="49">
        <v>1</v>
      </c>
      <c r="V48" s="49">
        <v>1</v>
      </c>
      <c r="W48" s="49">
        <v>3</v>
      </c>
      <c r="X48" s="49">
        <v>1</v>
      </c>
      <c r="Y48" s="49">
        <v>2</v>
      </c>
      <c r="Z48" s="49">
        <v>3</v>
      </c>
      <c r="AA48" s="114">
        <f t="shared" si="7"/>
        <v>5</v>
      </c>
      <c r="AB48" s="101" t="s">
        <v>100</v>
      </c>
      <c r="AC48" s="49">
        <v>3</v>
      </c>
      <c r="AD48" s="101" t="str">
        <f t="shared" si="0"/>
        <v>Medium</v>
      </c>
      <c r="AE48" s="101">
        <f t="shared" si="4"/>
        <v>15</v>
      </c>
      <c r="AF48" s="102" t="str">
        <f t="shared" si="1"/>
        <v>High</v>
      </c>
      <c r="AG48" s="50" t="s">
        <v>88</v>
      </c>
      <c r="AH48" s="51">
        <v>1</v>
      </c>
      <c r="AI48" s="137"/>
      <c r="AJ48" s="49"/>
      <c r="AK48" s="49"/>
      <c r="AL48" s="101" t="str">
        <f t="shared" si="2"/>
        <v>Very Low</v>
      </c>
      <c r="AM48" s="49">
        <v>1</v>
      </c>
      <c r="AN48" s="101" t="str">
        <f t="shared" si="5"/>
        <v>Very Low</v>
      </c>
      <c r="AO48" s="101">
        <f t="shared" si="6"/>
        <v>1</v>
      </c>
      <c r="AP48" s="101" t="str">
        <f t="shared" si="3"/>
        <v>Very Low</v>
      </c>
      <c r="AQ48" s="49" t="s">
        <v>89</v>
      </c>
      <c r="AR48" s="49" t="s">
        <v>467</v>
      </c>
      <c r="AS48" s="49" t="s">
        <v>461</v>
      </c>
      <c r="AT48" s="147" t="s">
        <v>468</v>
      </c>
      <c r="AU48" s="53" t="s">
        <v>140</v>
      </c>
      <c r="AV48" s="52" t="s">
        <v>469</v>
      </c>
      <c r="AW48" s="54"/>
    </row>
    <row r="49" spans="1:49" s="32" customFormat="1" ht="60" x14ac:dyDescent="0.2">
      <c r="A49" s="49">
        <v>48</v>
      </c>
      <c r="B49" s="49" t="s">
        <v>470</v>
      </c>
      <c r="C49" s="49" t="s">
        <v>25</v>
      </c>
      <c r="D49" s="49" t="s">
        <v>25</v>
      </c>
      <c r="E49" s="49" t="s">
        <v>307</v>
      </c>
      <c r="F49" s="49" t="s">
        <v>457</v>
      </c>
      <c r="G49" s="49" t="s">
        <v>458</v>
      </c>
      <c r="H49" s="49" t="s">
        <v>471</v>
      </c>
      <c r="I49" s="49" t="s">
        <v>472</v>
      </c>
      <c r="J49" s="49" t="s">
        <v>461</v>
      </c>
      <c r="K49" s="49" t="s">
        <v>461</v>
      </c>
      <c r="L49" s="49" t="s">
        <v>473</v>
      </c>
      <c r="M49" s="49" t="s">
        <v>463</v>
      </c>
      <c r="N49" s="49" t="s">
        <v>474</v>
      </c>
      <c r="O49" s="49" t="s">
        <v>180</v>
      </c>
      <c r="P49" s="49" t="s">
        <v>465</v>
      </c>
      <c r="Q49" s="49" t="s">
        <v>466</v>
      </c>
      <c r="R49" s="49">
        <v>2</v>
      </c>
      <c r="S49" s="49">
        <v>1</v>
      </c>
      <c r="T49" s="49">
        <v>1</v>
      </c>
      <c r="U49" s="49">
        <v>1</v>
      </c>
      <c r="V49" s="49">
        <v>1</v>
      </c>
      <c r="W49" s="49">
        <v>1</v>
      </c>
      <c r="X49" s="49">
        <v>1</v>
      </c>
      <c r="Y49" s="49">
        <v>2</v>
      </c>
      <c r="Z49" s="49">
        <v>3</v>
      </c>
      <c r="AA49" s="114">
        <f t="shared" si="7"/>
        <v>3</v>
      </c>
      <c r="AB49" s="101" t="s">
        <v>109</v>
      </c>
      <c r="AC49" s="49">
        <v>5</v>
      </c>
      <c r="AD49" s="101" t="str">
        <f t="shared" si="0"/>
        <v>Very High</v>
      </c>
      <c r="AE49" s="101">
        <f t="shared" si="4"/>
        <v>15</v>
      </c>
      <c r="AF49" s="102" t="str">
        <f t="shared" si="1"/>
        <v>High</v>
      </c>
      <c r="AG49" s="50" t="s">
        <v>88</v>
      </c>
      <c r="AH49" s="51">
        <v>1</v>
      </c>
      <c r="AI49" s="137"/>
      <c r="AJ49" s="49"/>
      <c r="AK49" s="49"/>
      <c r="AL49" s="101" t="str">
        <f t="shared" si="2"/>
        <v>Very Low</v>
      </c>
      <c r="AM49" s="49">
        <v>3</v>
      </c>
      <c r="AN49" s="101" t="str">
        <f t="shared" si="5"/>
        <v>Medium</v>
      </c>
      <c r="AO49" s="101">
        <f t="shared" si="6"/>
        <v>3</v>
      </c>
      <c r="AP49" s="101" t="str">
        <f t="shared" si="3"/>
        <v>Very Low</v>
      </c>
      <c r="AQ49" s="49" t="s">
        <v>89</v>
      </c>
      <c r="AR49" s="49" t="s">
        <v>475</v>
      </c>
      <c r="AS49" s="49" t="s">
        <v>461</v>
      </c>
      <c r="AT49" s="147" t="s">
        <v>476</v>
      </c>
      <c r="AU49" s="53" t="s">
        <v>102</v>
      </c>
      <c r="AV49" s="52" t="s">
        <v>469</v>
      </c>
      <c r="AW49" s="54" t="s">
        <v>477</v>
      </c>
    </row>
    <row r="50" spans="1:49" s="32" customFormat="1" ht="75" x14ac:dyDescent="0.2">
      <c r="A50" s="49">
        <v>49</v>
      </c>
      <c r="B50" s="49" t="s">
        <v>478</v>
      </c>
      <c r="C50" s="49" t="s">
        <v>25</v>
      </c>
      <c r="D50" s="49" t="s">
        <v>25</v>
      </c>
      <c r="E50" s="49" t="s">
        <v>307</v>
      </c>
      <c r="F50" s="49" t="s">
        <v>457</v>
      </c>
      <c r="G50" s="49" t="s">
        <v>458</v>
      </c>
      <c r="H50" s="49" t="s">
        <v>479</v>
      </c>
      <c r="I50" s="49" t="s">
        <v>480</v>
      </c>
      <c r="J50" s="49" t="s">
        <v>461</v>
      </c>
      <c r="K50" s="49" t="s">
        <v>461</v>
      </c>
      <c r="L50" s="49" t="s">
        <v>481</v>
      </c>
      <c r="M50" s="49" t="s">
        <v>463</v>
      </c>
      <c r="N50" s="49" t="s">
        <v>464</v>
      </c>
      <c r="O50" s="49" t="s">
        <v>85</v>
      </c>
      <c r="P50" s="49" t="s">
        <v>465</v>
      </c>
      <c r="Q50" s="49" t="s">
        <v>466</v>
      </c>
      <c r="R50" s="49">
        <v>2</v>
      </c>
      <c r="S50" s="49">
        <v>1</v>
      </c>
      <c r="T50" s="49">
        <v>1</v>
      </c>
      <c r="U50" s="49">
        <v>1</v>
      </c>
      <c r="V50" s="49">
        <v>1</v>
      </c>
      <c r="W50" s="49">
        <v>1</v>
      </c>
      <c r="X50" s="49">
        <v>1</v>
      </c>
      <c r="Y50" s="49">
        <v>1</v>
      </c>
      <c r="Z50" s="49">
        <v>3</v>
      </c>
      <c r="AA50" s="114">
        <f t="shared" si="7"/>
        <v>3</v>
      </c>
      <c r="AB50" s="101" t="s">
        <v>109</v>
      </c>
      <c r="AC50" s="49">
        <v>4</v>
      </c>
      <c r="AD50" s="101" t="str">
        <f t="shared" si="0"/>
        <v>High</v>
      </c>
      <c r="AE50" s="101">
        <f t="shared" si="4"/>
        <v>12</v>
      </c>
      <c r="AF50" s="102" t="str">
        <f t="shared" si="1"/>
        <v>Medium</v>
      </c>
      <c r="AG50" s="50" t="s">
        <v>88</v>
      </c>
      <c r="AH50" s="51">
        <v>1</v>
      </c>
      <c r="AI50" s="137"/>
      <c r="AJ50" s="49"/>
      <c r="AK50" s="49"/>
      <c r="AL50" s="101" t="str">
        <f t="shared" si="2"/>
        <v>Very Low</v>
      </c>
      <c r="AM50" s="49">
        <v>1</v>
      </c>
      <c r="AN50" s="101" t="str">
        <f t="shared" si="5"/>
        <v>Very Low</v>
      </c>
      <c r="AO50" s="101">
        <f t="shared" si="6"/>
        <v>1</v>
      </c>
      <c r="AP50" s="101" t="str">
        <f t="shared" si="3"/>
        <v>Very Low</v>
      </c>
      <c r="AQ50" s="49" t="s">
        <v>89</v>
      </c>
      <c r="AR50" s="49" t="s">
        <v>482</v>
      </c>
      <c r="AS50" s="49" t="s">
        <v>461</v>
      </c>
      <c r="AT50" s="55">
        <v>45028</v>
      </c>
      <c r="AU50" s="53" t="s">
        <v>140</v>
      </c>
      <c r="AV50" s="52" t="s">
        <v>469</v>
      </c>
      <c r="AW50" s="54"/>
    </row>
    <row r="51" spans="1:49" s="32" customFormat="1" ht="105" x14ac:dyDescent="0.2">
      <c r="A51" s="49">
        <v>50</v>
      </c>
      <c r="B51" s="49" t="s">
        <v>483</v>
      </c>
      <c r="C51" s="49" t="s">
        <v>25</v>
      </c>
      <c r="D51" s="49" t="s">
        <v>25</v>
      </c>
      <c r="E51" s="49" t="s">
        <v>307</v>
      </c>
      <c r="F51" s="49" t="s">
        <v>457</v>
      </c>
      <c r="G51" s="49" t="s">
        <v>458</v>
      </c>
      <c r="H51" s="49" t="s">
        <v>484</v>
      </c>
      <c r="I51" s="49" t="s">
        <v>485</v>
      </c>
      <c r="J51" s="49" t="s">
        <v>486</v>
      </c>
      <c r="K51" s="49" t="s">
        <v>461</v>
      </c>
      <c r="L51" s="49" t="s">
        <v>487</v>
      </c>
      <c r="M51" s="49" t="s">
        <v>463</v>
      </c>
      <c r="N51" s="49" t="s">
        <v>464</v>
      </c>
      <c r="O51" s="49" t="s">
        <v>85</v>
      </c>
      <c r="P51" s="49" t="s">
        <v>465</v>
      </c>
      <c r="Q51" s="49" t="s">
        <v>466</v>
      </c>
      <c r="R51" s="49">
        <v>2</v>
      </c>
      <c r="S51" s="49">
        <v>1</v>
      </c>
      <c r="T51" s="49">
        <v>1</v>
      </c>
      <c r="U51" s="49">
        <v>1</v>
      </c>
      <c r="V51" s="49">
        <v>1</v>
      </c>
      <c r="W51" s="49">
        <v>5</v>
      </c>
      <c r="X51" s="49">
        <v>1</v>
      </c>
      <c r="Y51" s="49">
        <v>1</v>
      </c>
      <c r="Z51" s="49">
        <v>5</v>
      </c>
      <c r="AA51" s="114">
        <f t="shared" si="7"/>
        <v>5</v>
      </c>
      <c r="AB51" s="101" t="s">
        <v>100</v>
      </c>
      <c r="AC51" s="49">
        <v>4</v>
      </c>
      <c r="AD51" s="101" t="str">
        <f t="shared" si="0"/>
        <v>High</v>
      </c>
      <c r="AE51" s="101">
        <f t="shared" si="4"/>
        <v>20</v>
      </c>
      <c r="AF51" s="102" t="str">
        <f t="shared" si="1"/>
        <v>Very High</v>
      </c>
      <c r="AG51" s="50" t="s">
        <v>88</v>
      </c>
      <c r="AH51" s="51">
        <v>1</v>
      </c>
      <c r="AI51" s="137"/>
      <c r="AJ51" s="49"/>
      <c r="AK51" s="49"/>
      <c r="AL51" s="101" t="str">
        <f t="shared" si="2"/>
        <v>Very Low</v>
      </c>
      <c r="AM51" s="49">
        <v>1</v>
      </c>
      <c r="AN51" s="101" t="str">
        <f t="shared" si="5"/>
        <v>Very Low</v>
      </c>
      <c r="AO51" s="101">
        <f t="shared" si="6"/>
        <v>1</v>
      </c>
      <c r="AP51" s="101" t="str">
        <f t="shared" si="3"/>
        <v>Very Low</v>
      </c>
      <c r="AQ51" s="49" t="s">
        <v>89</v>
      </c>
      <c r="AR51" s="49" t="s">
        <v>488</v>
      </c>
      <c r="AS51" s="49" t="s">
        <v>461</v>
      </c>
      <c r="AT51" s="147">
        <v>45657</v>
      </c>
      <c r="AU51" s="53" t="s">
        <v>102</v>
      </c>
      <c r="AV51" s="52" t="s">
        <v>469</v>
      </c>
      <c r="AW51" s="54" t="s">
        <v>489</v>
      </c>
    </row>
    <row r="52" spans="1:49" s="32" customFormat="1" ht="195" x14ac:dyDescent="0.2">
      <c r="A52" s="49">
        <v>51</v>
      </c>
      <c r="B52" s="49" t="s">
        <v>490</v>
      </c>
      <c r="C52" s="49" t="s">
        <v>25</v>
      </c>
      <c r="D52" s="49" t="s">
        <v>25</v>
      </c>
      <c r="E52" s="49" t="s">
        <v>307</v>
      </c>
      <c r="F52" s="49" t="s">
        <v>457</v>
      </c>
      <c r="G52" s="49" t="s">
        <v>458</v>
      </c>
      <c r="H52" s="49" t="s">
        <v>491</v>
      </c>
      <c r="I52" s="49" t="s">
        <v>492</v>
      </c>
      <c r="J52" s="49" t="s">
        <v>486</v>
      </c>
      <c r="K52" s="49" t="s">
        <v>461</v>
      </c>
      <c r="L52" s="49" t="s">
        <v>493</v>
      </c>
      <c r="M52" s="49" t="s">
        <v>494</v>
      </c>
      <c r="N52" s="49" t="s">
        <v>495</v>
      </c>
      <c r="O52" s="49" t="s">
        <v>85</v>
      </c>
      <c r="P52" s="49" t="s">
        <v>86</v>
      </c>
      <c r="Q52" s="49"/>
      <c r="R52" s="49">
        <v>2</v>
      </c>
      <c r="S52" s="49">
        <v>1</v>
      </c>
      <c r="T52" s="49">
        <v>1</v>
      </c>
      <c r="U52" s="49">
        <v>1</v>
      </c>
      <c r="V52" s="49">
        <v>1</v>
      </c>
      <c r="W52" s="49">
        <v>5</v>
      </c>
      <c r="X52" s="49">
        <v>1</v>
      </c>
      <c r="Y52" s="49">
        <v>1</v>
      </c>
      <c r="Z52" s="49">
        <v>5</v>
      </c>
      <c r="AA52" s="114">
        <f t="shared" ref="AA52" si="8">MAX(R52:Z52)</f>
        <v>5</v>
      </c>
      <c r="AB52" s="101" t="s">
        <v>100</v>
      </c>
      <c r="AC52" s="49">
        <v>5</v>
      </c>
      <c r="AD52" s="101" t="str">
        <f t="shared" ref="AD52" si="9">IF(AC52=1,"Very Low",IF(AC52=2,"Low",IF(AC52=3,"Medium",IF(AC52=4,"High",IF(AC52=5,"Very High",)))))</f>
        <v>Very High</v>
      </c>
      <c r="AE52" s="101">
        <f t="shared" ref="AE52" si="10">AA52*AC52</f>
        <v>25</v>
      </c>
      <c r="AF52" s="102" t="str">
        <f t="shared" si="1"/>
        <v>Very High</v>
      </c>
      <c r="AG52" s="50" t="s">
        <v>88</v>
      </c>
      <c r="AH52" s="51">
        <v>2</v>
      </c>
      <c r="AI52" s="137"/>
      <c r="AJ52" s="49"/>
      <c r="AK52" s="49"/>
      <c r="AL52" s="101" t="str">
        <f t="shared" ref="AL52" si="11">IF(AH52=1,"Very Low",IF(AH52=2,"Low",IF(AH52=3,"Medium",IF(AH52=4,"High",IF(AH52=5,"Very High",)))))</f>
        <v>Low</v>
      </c>
      <c r="AM52" s="49">
        <v>2</v>
      </c>
      <c r="AN52" s="101" t="str">
        <f t="shared" ref="AN52" si="12">IF(AM52=1,"Very Low",IF(AM52=2,"Low",IF(AM52=3,"Medium",IF(AM52=4,"High",IF(AM52=5,"Very High",)))))</f>
        <v>Low</v>
      </c>
      <c r="AO52" s="101">
        <f t="shared" ref="AO52" si="13">AH52*AM52</f>
        <v>4</v>
      </c>
      <c r="AP52" s="101" t="str">
        <f t="shared" ref="AP52" si="14">IF(AO52=1,"Very Low",IF(AO52=2,"Very Low",IF(AO52=3,"Very Low",IF(AO52=4,"Very Low",IF(AO52=5,"Very Low",IF(AO52=6,"Very Low",IF(AO52=8,"Low",IF(AO52=9,"Low",IF(AO52=10,"Medium",IF(AO52=12,"Medium",IF(AO52=15,"High",IF(AO52=16,"High",IF(AO52=20,"Very High",IF(AO52=25,"Very High",))))))))))))))</f>
        <v>Very Low</v>
      </c>
      <c r="AQ52" s="49" t="s">
        <v>89</v>
      </c>
      <c r="AR52" s="131" t="s">
        <v>496</v>
      </c>
      <c r="AS52" s="49" t="s">
        <v>461</v>
      </c>
      <c r="AT52" s="147" t="s">
        <v>497</v>
      </c>
      <c r="AU52" s="53" t="s">
        <v>102</v>
      </c>
      <c r="AV52" s="52" t="s">
        <v>498</v>
      </c>
      <c r="AW52" s="54"/>
    </row>
    <row r="53" spans="1:49" s="3" customFormat="1" ht="120" x14ac:dyDescent="0.2">
      <c r="A53" s="49">
        <v>51</v>
      </c>
      <c r="B53" s="49" t="s">
        <v>499</v>
      </c>
      <c r="C53" s="49" t="s">
        <v>18</v>
      </c>
      <c r="D53" s="49" t="s">
        <v>226</v>
      </c>
      <c r="E53" s="49" t="s">
        <v>500</v>
      </c>
      <c r="F53" s="49" t="s">
        <v>501</v>
      </c>
      <c r="G53" s="49" t="s">
        <v>502</v>
      </c>
      <c r="H53" s="49" t="s">
        <v>503</v>
      </c>
      <c r="I53" s="49" t="s">
        <v>504</v>
      </c>
      <c r="J53" s="49" t="s">
        <v>502</v>
      </c>
      <c r="K53" s="49" t="s">
        <v>501</v>
      </c>
      <c r="L53" s="49" t="s">
        <v>505</v>
      </c>
      <c r="M53" s="49" t="s">
        <v>506</v>
      </c>
      <c r="N53" s="49"/>
      <c r="O53" s="49" t="s">
        <v>85</v>
      </c>
      <c r="P53" s="49" t="s">
        <v>86</v>
      </c>
      <c r="Q53" s="49"/>
      <c r="R53" s="49"/>
      <c r="S53" s="49">
        <v>3</v>
      </c>
      <c r="T53" s="49"/>
      <c r="U53" s="49"/>
      <c r="V53" s="49"/>
      <c r="W53" s="49"/>
      <c r="X53" s="49"/>
      <c r="Y53" s="49"/>
      <c r="Z53" s="49"/>
      <c r="AA53" s="114">
        <f t="shared" si="7"/>
        <v>3</v>
      </c>
      <c r="AB53" s="101" t="s">
        <v>109</v>
      </c>
      <c r="AC53" s="49">
        <v>4</v>
      </c>
      <c r="AD53" s="101" t="str">
        <f t="shared" si="0"/>
        <v>High</v>
      </c>
      <c r="AE53" s="101">
        <f t="shared" si="4"/>
        <v>12</v>
      </c>
      <c r="AF53" s="101" t="str">
        <f t="shared" si="1"/>
        <v>Medium</v>
      </c>
      <c r="AG53" s="50" t="s">
        <v>88</v>
      </c>
      <c r="AH53" s="51">
        <v>3</v>
      </c>
      <c r="AI53" s="137"/>
      <c r="AJ53" s="49"/>
      <c r="AK53" s="49"/>
      <c r="AL53" s="101" t="str">
        <f t="shared" si="2"/>
        <v>Medium</v>
      </c>
      <c r="AM53" s="49">
        <v>4</v>
      </c>
      <c r="AN53" s="101" t="str">
        <f t="shared" si="5"/>
        <v>High</v>
      </c>
      <c r="AO53" s="101">
        <f t="shared" si="6"/>
        <v>12</v>
      </c>
      <c r="AP53" s="101" t="str">
        <f t="shared" si="3"/>
        <v>Medium</v>
      </c>
      <c r="AQ53" s="49" t="s">
        <v>89</v>
      </c>
      <c r="AR53" s="49" t="s">
        <v>507</v>
      </c>
      <c r="AS53" s="49" t="s">
        <v>508</v>
      </c>
      <c r="AT53" s="55" t="s">
        <v>509</v>
      </c>
      <c r="AU53" s="53" t="s">
        <v>102</v>
      </c>
      <c r="AV53" s="52">
        <v>45719</v>
      </c>
      <c r="AW53" s="54"/>
    </row>
    <row r="54" spans="1:49" s="32" customFormat="1" ht="120" x14ac:dyDescent="0.2">
      <c r="A54" s="49">
        <v>52</v>
      </c>
      <c r="B54" s="49" t="s">
        <v>510</v>
      </c>
      <c r="C54" s="49" t="s">
        <v>18</v>
      </c>
      <c r="D54" s="49" t="s">
        <v>226</v>
      </c>
      <c r="E54" s="49" t="s">
        <v>500</v>
      </c>
      <c r="F54" s="49" t="s">
        <v>501</v>
      </c>
      <c r="G54" s="49" t="s">
        <v>502</v>
      </c>
      <c r="H54" s="49" t="s">
        <v>511</v>
      </c>
      <c r="I54" s="49" t="s">
        <v>512</v>
      </c>
      <c r="J54" s="49" t="s">
        <v>502</v>
      </c>
      <c r="K54" s="49" t="s">
        <v>501</v>
      </c>
      <c r="L54" s="49" t="s">
        <v>513</v>
      </c>
      <c r="M54" s="49" t="s">
        <v>514</v>
      </c>
      <c r="N54" s="49"/>
      <c r="O54" s="49" t="s">
        <v>85</v>
      </c>
      <c r="P54" s="49" t="s">
        <v>86</v>
      </c>
      <c r="Q54" s="49"/>
      <c r="R54" s="49">
        <v>2</v>
      </c>
      <c r="S54" s="49">
        <v>4</v>
      </c>
      <c r="T54" s="49"/>
      <c r="U54" s="49"/>
      <c r="V54" s="49"/>
      <c r="W54" s="49"/>
      <c r="X54" s="49"/>
      <c r="Y54" s="49"/>
      <c r="Z54" s="49"/>
      <c r="AA54" s="114">
        <f t="shared" si="7"/>
        <v>4</v>
      </c>
      <c r="AB54" s="101" t="s">
        <v>87</v>
      </c>
      <c r="AC54" s="49">
        <v>3</v>
      </c>
      <c r="AD54" s="101" t="str">
        <f t="shared" si="0"/>
        <v>Medium</v>
      </c>
      <c r="AE54" s="101">
        <f t="shared" si="4"/>
        <v>12</v>
      </c>
      <c r="AF54" s="102" t="str">
        <f t="shared" si="1"/>
        <v>Medium</v>
      </c>
      <c r="AG54" s="50" t="s">
        <v>88</v>
      </c>
      <c r="AH54" s="51">
        <v>4</v>
      </c>
      <c r="AI54" s="137"/>
      <c r="AJ54" s="49"/>
      <c r="AK54" s="49"/>
      <c r="AL54" s="101" t="str">
        <f t="shared" si="2"/>
        <v>High</v>
      </c>
      <c r="AM54" s="49">
        <v>3</v>
      </c>
      <c r="AN54" s="101" t="str">
        <f t="shared" si="5"/>
        <v>Medium</v>
      </c>
      <c r="AO54" s="101">
        <v>12</v>
      </c>
      <c r="AP54" s="101" t="str">
        <f t="shared" si="3"/>
        <v>Medium</v>
      </c>
      <c r="AQ54" s="49" t="s">
        <v>515</v>
      </c>
      <c r="AR54" s="49" t="s">
        <v>516</v>
      </c>
      <c r="AS54" s="49" t="s">
        <v>508</v>
      </c>
      <c r="AT54" s="55" t="s">
        <v>509</v>
      </c>
      <c r="AU54" s="53" t="s">
        <v>102</v>
      </c>
      <c r="AV54" s="52">
        <v>45719</v>
      </c>
      <c r="AW54" s="52"/>
    </row>
    <row r="55" spans="1:49" s="32" customFormat="1" ht="90" x14ac:dyDescent="0.2">
      <c r="A55" s="49">
        <v>53</v>
      </c>
      <c r="B55" s="49" t="s">
        <v>517</v>
      </c>
      <c r="C55" s="49" t="s">
        <v>18</v>
      </c>
      <c r="D55" s="49" t="s">
        <v>226</v>
      </c>
      <c r="E55" s="49" t="s">
        <v>518</v>
      </c>
      <c r="F55" s="49" t="s">
        <v>501</v>
      </c>
      <c r="G55" s="49" t="s">
        <v>502</v>
      </c>
      <c r="H55" s="49" t="s">
        <v>519</v>
      </c>
      <c r="I55" s="49" t="s">
        <v>520</v>
      </c>
      <c r="J55" s="49" t="s">
        <v>502</v>
      </c>
      <c r="K55" s="49" t="s">
        <v>501</v>
      </c>
      <c r="L55" s="49" t="s">
        <v>521</v>
      </c>
      <c r="M55" s="49" t="s">
        <v>522</v>
      </c>
      <c r="N55" s="49"/>
      <c r="O55" s="49" t="s">
        <v>85</v>
      </c>
      <c r="P55" s="49" t="s">
        <v>86</v>
      </c>
      <c r="Q55" s="49"/>
      <c r="R55" s="49">
        <v>4</v>
      </c>
      <c r="S55" s="49">
        <v>4</v>
      </c>
      <c r="T55" s="49"/>
      <c r="U55" s="49"/>
      <c r="V55" s="49"/>
      <c r="W55" s="49"/>
      <c r="X55" s="49"/>
      <c r="Y55" s="49"/>
      <c r="Z55" s="49"/>
      <c r="AA55" s="114">
        <f t="shared" si="7"/>
        <v>4</v>
      </c>
      <c r="AB55" s="101" t="s">
        <v>87</v>
      </c>
      <c r="AC55" s="49">
        <v>1</v>
      </c>
      <c r="AD55" s="101" t="str">
        <f t="shared" si="0"/>
        <v>Very Low</v>
      </c>
      <c r="AE55" s="101">
        <f t="shared" si="4"/>
        <v>4</v>
      </c>
      <c r="AF55" s="102" t="str">
        <f t="shared" si="1"/>
        <v>Very Low</v>
      </c>
      <c r="AG55" s="50" t="s">
        <v>88</v>
      </c>
      <c r="AH55" s="51">
        <v>4</v>
      </c>
      <c r="AI55" s="137"/>
      <c r="AJ55" s="49"/>
      <c r="AK55" s="49"/>
      <c r="AL55" s="101" t="str">
        <f t="shared" si="2"/>
        <v>High</v>
      </c>
      <c r="AM55" s="49">
        <v>1</v>
      </c>
      <c r="AN55" s="101" t="str">
        <f t="shared" si="5"/>
        <v>Very Low</v>
      </c>
      <c r="AO55" s="101">
        <f t="shared" ref="AO55:AO80" si="15">AH55*AM55</f>
        <v>4</v>
      </c>
      <c r="AP55" s="101" t="str">
        <f t="shared" si="3"/>
        <v>Very Low</v>
      </c>
      <c r="AQ55" s="49" t="s">
        <v>89</v>
      </c>
      <c r="AR55" s="49" t="s">
        <v>523</v>
      </c>
      <c r="AS55" s="49" t="s">
        <v>508</v>
      </c>
      <c r="AT55" s="55" t="s">
        <v>509</v>
      </c>
      <c r="AU55" s="53" t="s">
        <v>102</v>
      </c>
      <c r="AV55" s="52">
        <v>45719</v>
      </c>
      <c r="AW55" s="52"/>
    </row>
    <row r="56" spans="1:49" s="32" customFormat="1" ht="60" x14ac:dyDescent="0.2">
      <c r="A56" s="49">
        <v>54</v>
      </c>
      <c r="B56" s="49" t="s">
        <v>524</v>
      </c>
      <c r="C56" s="49" t="s">
        <v>18</v>
      </c>
      <c r="D56" s="49" t="s">
        <v>226</v>
      </c>
      <c r="E56" s="49" t="s">
        <v>518</v>
      </c>
      <c r="F56" s="49" t="s">
        <v>525</v>
      </c>
      <c r="G56" s="49" t="s">
        <v>502</v>
      </c>
      <c r="H56" s="49" t="s">
        <v>526</v>
      </c>
      <c r="I56" s="49" t="s">
        <v>527</v>
      </c>
      <c r="J56" s="49" t="s">
        <v>502</v>
      </c>
      <c r="K56" s="49" t="s">
        <v>528</v>
      </c>
      <c r="L56" s="49" t="s">
        <v>529</v>
      </c>
      <c r="M56" s="49" t="s">
        <v>530</v>
      </c>
      <c r="N56" s="49"/>
      <c r="O56" s="49" t="s">
        <v>85</v>
      </c>
      <c r="P56" s="49" t="s">
        <v>86</v>
      </c>
      <c r="Q56" s="49"/>
      <c r="R56" s="49">
        <v>4</v>
      </c>
      <c r="S56" s="49">
        <v>4</v>
      </c>
      <c r="T56" s="49"/>
      <c r="U56" s="49"/>
      <c r="V56" s="49"/>
      <c r="W56" s="49"/>
      <c r="X56" s="49"/>
      <c r="Y56" s="49"/>
      <c r="Z56" s="49"/>
      <c r="AA56" s="114">
        <f t="shared" si="7"/>
        <v>4</v>
      </c>
      <c r="AB56" s="101" t="s">
        <v>87</v>
      </c>
      <c r="AC56" s="49">
        <v>5</v>
      </c>
      <c r="AD56" s="101" t="str">
        <f t="shared" si="0"/>
        <v>Very High</v>
      </c>
      <c r="AE56" s="101">
        <f t="shared" si="4"/>
        <v>20</v>
      </c>
      <c r="AF56" s="102" t="str">
        <f t="shared" si="1"/>
        <v>Very High</v>
      </c>
      <c r="AG56" s="50" t="s">
        <v>88</v>
      </c>
      <c r="AH56" s="51">
        <v>4</v>
      </c>
      <c r="AI56" s="137"/>
      <c r="AJ56" s="49"/>
      <c r="AK56" s="49"/>
      <c r="AL56" s="101" t="str">
        <f t="shared" si="2"/>
        <v>High</v>
      </c>
      <c r="AM56" s="49">
        <v>3</v>
      </c>
      <c r="AN56" s="101" t="str">
        <f t="shared" si="5"/>
        <v>Medium</v>
      </c>
      <c r="AO56" s="101">
        <f t="shared" si="15"/>
        <v>12</v>
      </c>
      <c r="AP56" s="101" t="str">
        <f t="shared" si="3"/>
        <v>Medium</v>
      </c>
      <c r="AQ56" s="49" t="s">
        <v>89</v>
      </c>
      <c r="AR56" s="49" t="s">
        <v>531</v>
      </c>
      <c r="AS56" s="49" t="s">
        <v>508</v>
      </c>
      <c r="AT56" s="147" t="s">
        <v>509</v>
      </c>
      <c r="AU56" s="53" t="s">
        <v>102</v>
      </c>
      <c r="AV56" s="52">
        <v>45719</v>
      </c>
      <c r="AW56" s="52"/>
    </row>
    <row r="57" spans="1:49" s="3" customFormat="1" ht="120" x14ac:dyDescent="0.2">
      <c r="A57" s="49">
        <v>55</v>
      </c>
      <c r="B57" s="49" t="s">
        <v>532</v>
      </c>
      <c r="C57" s="49" t="s">
        <v>18</v>
      </c>
      <c r="D57" s="49" t="s">
        <v>226</v>
      </c>
      <c r="E57" s="49" t="s">
        <v>518</v>
      </c>
      <c r="F57" s="49" t="s">
        <v>525</v>
      </c>
      <c r="G57" s="49" t="s">
        <v>518</v>
      </c>
      <c r="H57" s="49" t="s">
        <v>533</v>
      </c>
      <c r="I57" s="49" t="s">
        <v>534</v>
      </c>
      <c r="J57" s="49" t="s">
        <v>502</v>
      </c>
      <c r="K57" s="49" t="s">
        <v>528</v>
      </c>
      <c r="L57" s="49" t="s">
        <v>535</v>
      </c>
      <c r="M57" s="49" t="s">
        <v>530</v>
      </c>
      <c r="N57" s="49"/>
      <c r="O57" s="49" t="s">
        <v>85</v>
      </c>
      <c r="P57" s="49" t="s">
        <v>86</v>
      </c>
      <c r="Q57" s="49"/>
      <c r="R57" s="49">
        <v>4</v>
      </c>
      <c r="S57" s="49">
        <v>4</v>
      </c>
      <c r="T57" s="49"/>
      <c r="U57" s="49"/>
      <c r="V57" s="49"/>
      <c r="W57" s="49"/>
      <c r="X57" s="49"/>
      <c r="Y57" s="49"/>
      <c r="Z57" s="49"/>
      <c r="AA57" s="114">
        <f t="shared" si="7"/>
        <v>4</v>
      </c>
      <c r="AB57" s="101" t="s">
        <v>87</v>
      </c>
      <c r="AC57" s="49">
        <v>5</v>
      </c>
      <c r="AD57" s="101" t="str">
        <f t="shared" si="0"/>
        <v>Very High</v>
      </c>
      <c r="AE57" s="101">
        <f t="shared" si="4"/>
        <v>20</v>
      </c>
      <c r="AF57" s="101" t="str">
        <f t="shared" si="1"/>
        <v>Very High</v>
      </c>
      <c r="AG57" s="50" t="s">
        <v>88</v>
      </c>
      <c r="AH57" s="51">
        <v>4</v>
      </c>
      <c r="AI57" s="137"/>
      <c r="AJ57" s="49"/>
      <c r="AK57" s="49"/>
      <c r="AL57" s="101" t="str">
        <f t="shared" si="2"/>
        <v>High</v>
      </c>
      <c r="AM57" s="49">
        <v>3</v>
      </c>
      <c r="AN57" s="101" t="str">
        <f t="shared" si="5"/>
        <v>Medium</v>
      </c>
      <c r="AO57" s="101">
        <f t="shared" si="15"/>
        <v>12</v>
      </c>
      <c r="AP57" s="101" t="str">
        <f t="shared" si="3"/>
        <v>Medium</v>
      </c>
      <c r="AQ57" s="49" t="s">
        <v>89</v>
      </c>
      <c r="AR57" s="49" t="s">
        <v>536</v>
      </c>
      <c r="AS57" s="55" t="s">
        <v>508</v>
      </c>
      <c r="AT57" s="147" t="s">
        <v>509</v>
      </c>
      <c r="AU57" s="53" t="s">
        <v>102</v>
      </c>
      <c r="AV57" s="52">
        <v>45568</v>
      </c>
      <c r="AW57" s="52"/>
    </row>
    <row r="58" spans="1:49" s="3" customFormat="1" ht="75" x14ac:dyDescent="0.2">
      <c r="A58" s="49">
        <v>56</v>
      </c>
      <c r="B58" s="49" t="s">
        <v>537</v>
      </c>
      <c r="C58" s="49" t="s">
        <v>18</v>
      </c>
      <c r="D58" s="49" t="s">
        <v>226</v>
      </c>
      <c r="E58" s="49" t="s">
        <v>500</v>
      </c>
      <c r="F58" s="49" t="s">
        <v>525</v>
      </c>
      <c r="G58" s="49" t="s">
        <v>502</v>
      </c>
      <c r="H58" s="49" t="s">
        <v>538</v>
      </c>
      <c r="I58" s="49" t="s">
        <v>539</v>
      </c>
      <c r="J58" s="49" t="s">
        <v>502</v>
      </c>
      <c r="K58" s="49" t="s">
        <v>528</v>
      </c>
      <c r="L58" s="49" t="s">
        <v>540</v>
      </c>
      <c r="M58" s="49" t="s">
        <v>541</v>
      </c>
      <c r="N58" s="49"/>
      <c r="O58" s="49" t="s">
        <v>85</v>
      </c>
      <c r="P58" s="49" t="s">
        <v>86</v>
      </c>
      <c r="Q58" s="49"/>
      <c r="R58" s="49">
        <v>2</v>
      </c>
      <c r="S58" s="49">
        <v>2</v>
      </c>
      <c r="T58" s="49"/>
      <c r="U58" s="49"/>
      <c r="V58" s="49"/>
      <c r="W58" s="49"/>
      <c r="X58" s="49"/>
      <c r="Y58" s="49"/>
      <c r="Z58" s="49"/>
      <c r="AA58" s="114">
        <f t="shared" si="7"/>
        <v>2</v>
      </c>
      <c r="AB58" s="101" t="s">
        <v>118</v>
      </c>
      <c r="AC58" s="49">
        <v>2</v>
      </c>
      <c r="AD58" s="101" t="str">
        <f t="shared" si="0"/>
        <v>Low</v>
      </c>
      <c r="AE58" s="101">
        <f t="shared" si="4"/>
        <v>4</v>
      </c>
      <c r="AF58" s="101" t="str">
        <f t="shared" si="1"/>
        <v>Very Low</v>
      </c>
      <c r="AG58" s="50" t="s">
        <v>88</v>
      </c>
      <c r="AH58" s="51">
        <v>2</v>
      </c>
      <c r="AI58" s="137"/>
      <c r="AJ58" s="49"/>
      <c r="AK58" s="49"/>
      <c r="AL58" s="101" t="str">
        <f t="shared" si="2"/>
        <v>Low</v>
      </c>
      <c r="AM58" s="49">
        <v>2</v>
      </c>
      <c r="AN58" s="101" t="str">
        <f t="shared" si="5"/>
        <v>Low</v>
      </c>
      <c r="AO58" s="101">
        <f t="shared" si="15"/>
        <v>4</v>
      </c>
      <c r="AP58" s="101" t="str">
        <f t="shared" si="3"/>
        <v>Very Low</v>
      </c>
      <c r="AQ58" s="49" t="s">
        <v>89</v>
      </c>
      <c r="AR58" s="49" t="s">
        <v>542</v>
      </c>
      <c r="AS58" s="49" t="s">
        <v>508</v>
      </c>
      <c r="AT58" s="55" t="s">
        <v>509</v>
      </c>
      <c r="AU58" s="53" t="s">
        <v>102</v>
      </c>
      <c r="AV58" s="52">
        <v>45719</v>
      </c>
      <c r="AW58" s="52"/>
    </row>
    <row r="59" spans="1:49" s="32" customFormat="1" ht="90" x14ac:dyDescent="0.2">
      <c r="A59" s="49">
        <v>57</v>
      </c>
      <c r="B59" s="49" t="s">
        <v>543</v>
      </c>
      <c r="C59" s="49" t="s">
        <v>25</v>
      </c>
      <c r="D59" s="49" t="s">
        <v>185</v>
      </c>
      <c r="E59" s="49" t="s">
        <v>544</v>
      </c>
      <c r="F59" s="49" t="s">
        <v>545</v>
      </c>
      <c r="G59" s="49" t="s">
        <v>502</v>
      </c>
      <c r="H59" s="49" t="s">
        <v>546</v>
      </c>
      <c r="I59" s="49" t="s">
        <v>547</v>
      </c>
      <c r="J59" s="49" t="s">
        <v>548</v>
      </c>
      <c r="K59" s="49" t="s">
        <v>549</v>
      </c>
      <c r="L59" s="49" t="s">
        <v>550</v>
      </c>
      <c r="M59" s="49" t="s">
        <v>551</v>
      </c>
      <c r="N59" s="49"/>
      <c r="O59" s="49" t="s">
        <v>552</v>
      </c>
      <c r="P59" s="49" t="s">
        <v>553</v>
      </c>
      <c r="Q59" s="49"/>
      <c r="R59" s="49">
        <v>4</v>
      </c>
      <c r="S59" s="49">
        <v>4</v>
      </c>
      <c r="T59" s="49">
        <v>2</v>
      </c>
      <c r="U59" s="49">
        <v>3</v>
      </c>
      <c r="V59" s="49">
        <v>5</v>
      </c>
      <c r="W59" s="49">
        <v>2</v>
      </c>
      <c r="X59" s="49">
        <v>3</v>
      </c>
      <c r="Y59" s="49">
        <v>3</v>
      </c>
      <c r="Z59" s="49">
        <v>4</v>
      </c>
      <c r="AA59" s="114">
        <f t="shared" si="7"/>
        <v>5</v>
      </c>
      <c r="AB59" s="101" t="s">
        <v>100</v>
      </c>
      <c r="AC59" s="49">
        <v>2</v>
      </c>
      <c r="AD59" s="101" t="str">
        <f t="shared" si="0"/>
        <v>Low</v>
      </c>
      <c r="AE59" s="101">
        <f t="shared" si="4"/>
        <v>10</v>
      </c>
      <c r="AF59" s="102" t="str">
        <f>IF(AE59=1,"Very Low",IF(AE59=2,"Very Low",IF(AE59=3,"Very Low",IF(AE59=4,"Very Low",IF(AE59=5,"Very Low",IF(AE59=6,"Very Low",IF(AE59=8,"Low",IF(AE59=9,"Low",IF(AE59=10,"Medium",IF(AE59=12,"Medium",IF(AE59=15,"High",IF(AE59=16,"High",IF(AE59=20,"Very High",IF(AE59=25,"Very High",))))))))))))))</f>
        <v>Medium</v>
      </c>
      <c r="AG59" s="50" t="s">
        <v>88</v>
      </c>
      <c r="AH59" s="51">
        <v>4</v>
      </c>
      <c r="AI59" s="137"/>
      <c r="AJ59" s="49">
        <v>0</v>
      </c>
      <c r="AK59" s="49"/>
      <c r="AL59" s="101">
        <v>0</v>
      </c>
      <c r="AM59" s="49">
        <v>1</v>
      </c>
      <c r="AN59" s="101">
        <v>0</v>
      </c>
      <c r="AO59" s="101">
        <f t="shared" si="15"/>
        <v>4</v>
      </c>
      <c r="AP59" s="101" t="str">
        <f t="shared" si="3"/>
        <v>Very Low</v>
      </c>
      <c r="AQ59" s="49" t="s">
        <v>89</v>
      </c>
      <c r="AR59" s="49" t="s">
        <v>554</v>
      </c>
      <c r="AS59" s="49" t="s">
        <v>555</v>
      </c>
      <c r="AT59" s="55">
        <v>45488</v>
      </c>
      <c r="AU59" s="53" t="s">
        <v>140</v>
      </c>
      <c r="AV59" s="52">
        <v>45721</v>
      </c>
      <c r="AW59" s="52"/>
    </row>
    <row r="60" spans="1:49" s="32" customFormat="1" ht="60" x14ac:dyDescent="0.2">
      <c r="A60" s="49">
        <v>58</v>
      </c>
      <c r="B60" s="49" t="s">
        <v>556</v>
      </c>
      <c r="C60" s="49" t="s">
        <v>164</v>
      </c>
      <c r="D60" s="49" t="s">
        <v>417</v>
      </c>
      <c r="E60" s="49" t="s">
        <v>557</v>
      </c>
      <c r="F60" s="49" t="s">
        <v>545</v>
      </c>
      <c r="G60" s="49" t="s">
        <v>502</v>
      </c>
      <c r="H60" s="49" t="s">
        <v>558</v>
      </c>
      <c r="I60" s="49" t="s">
        <v>559</v>
      </c>
      <c r="J60" s="49" t="s">
        <v>548</v>
      </c>
      <c r="K60" s="49" t="s">
        <v>548</v>
      </c>
      <c r="L60" s="49" t="s">
        <v>560</v>
      </c>
      <c r="M60" s="49" t="s">
        <v>561</v>
      </c>
      <c r="N60" s="49"/>
      <c r="O60" s="49" t="s">
        <v>85</v>
      </c>
      <c r="P60" s="49" t="s">
        <v>553</v>
      </c>
      <c r="Q60" s="49"/>
      <c r="R60" s="49">
        <v>3</v>
      </c>
      <c r="S60" s="49">
        <v>2</v>
      </c>
      <c r="T60" s="49">
        <v>1</v>
      </c>
      <c r="U60" s="49">
        <v>1</v>
      </c>
      <c r="V60" s="49">
        <v>1</v>
      </c>
      <c r="W60" s="49">
        <v>1</v>
      </c>
      <c r="X60" s="49">
        <v>4</v>
      </c>
      <c r="Y60" s="49">
        <v>2</v>
      </c>
      <c r="Z60" s="49">
        <v>2</v>
      </c>
      <c r="AA60" s="114">
        <f t="shared" si="7"/>
        <v>4</v>
      </c>
      <c r="AB60" s="101" t="s">
        <v>87</v>
      </c>
      <c r="AC60" s="49">
        <v>3</v>
      </c>
      <c r="AD60" s="101" t="str">
        <f t="shared" si="0"/>
        <v>Medium</v>
      </c>
      <c r="AE60" s="101">
        <f t="shared" si="4"/>
        <v>12</v>
      </c>
      <c r="AF60" s="102" t="str">
        <f>IF(AE60=1,"Very Low",IF(AE60=2,"Very Low",IF(AE60=3,"Very Low",IF(AE60=4,"Very Low",IF(AE60=5,"Very Low",IF(AE60=6,"Very Low",IF(AE60=8,"Low",IF(AE60=9,"Low",IF(AE60=10,"Medium",IF(AE60=12,"Medium",IF(AE60=15,"High",IF(AE60=16,"High",IF(AE60=20,"Very High",IF(AE60=25,"Very High",))))))))))))))</f>
        <v>Medium</v>
      </c>
      <c r="AG60" s="50" t="s">
        <v>88</v>
      </c>
      <c r="AH60" s="51">
        <v>1</v>
      </c>
      <c r="AI60" s="137"/>
      <c r="AJ60" s="49">
        <v>0</v>
      </c>
      <c r="AK60" s="49"/>
      <c r="AL60" s="101">
        <v>0</v>
      </c>
      <c r="AM60" s="49">
        <v>1</v>
      </c>
      <c r="AN60" s="101">
        <v>0</v>
      </c>
      <c r="AO60" s="101">
        <f t="shared" si="15"/>
        <v>1</v>
      </c>
      <c r="AP60" s="101" t="str">
        <f t="shared" si="3"/>
        <v>Very Low</v>
      </c>
      <c r="AQ60" s="49" t="s">
        <v>89</v>
      </c>
      <c r="AR60" s="49" t="s">
        <v>562</v>
      </c>
      <c r="AS60" s="49" t="s">
        <v>555</v>
      </c>
      <c r="AT60" s="55">
        <v>45488</v>
      </c>
      <c r="AU60" s="53" t="s">
        <v>140</v>
      </c>
      <c r="AV60" s="52">
        <v>45721</v>
      </c>
      <c r="AW60" s="52"/>
    </row>
    <row r="61" spans="1:49" s="32" customFormat="1" ht="255" x14ac:dyDescent="0.2">
      <c r="A61" s="49">
        <v>59</v>
      </c>
      <c r="B61" s="49" t="s">
        <v>563</v>
      </c>
      <c r="C61" s="49" t="s">
        <v>18</v>
      </c>
      <c r="D61" s="49" t="s">
        <v>226</v>
      </c>
      <c r="E61" s="49" t="s">
        <v>564</v>
      </c>
      <c r="F61" s="49" t="s">
        <v>565</v>
      </c>
      <c r="G61" s="49" t="s">
        <v>566</v>
      </c>
      <c r="H61" s="49" t="s">
        <v>567</v>
      </c>
      <c r="I61" s="49" t="s">
        <v>568</v>
      </c>
      <c r="J61" s="49" t="s">
        <v>569</v>
      </c>
      <c r="K61" s="49" t="s">
        <v>570</v>
      </c>
      <c r="L61" s="49" t="s">
        <v>571</v>
      </c>
      <c r="M61" s="49" t="s">
        <v>572</v>
      </c>
      <c r="N61" s="49" t="s">
        <v>573</v>
      </c>
      <c r="O61" s="49" t="s">
        <v>180</v>
      </c>
      <c r="P61" s="49" t="s">
        <v>441</v>
      </c>
      <c r="Q61" s="49" t="s">
        <v>574</v>
      </c>
      <c r="R61" s="49">
        <v>4</v>
      </c>
      <c r="S61" s="49">
        <v>5</v>
      </c>
      <c r="T61" s="49"/>
      <c r="U61" s="49"/>
      <c r="V61" s="49"/>
      <c r="W61" s="49">
        <v>4</v>
      </c>
      <c r="X61" s="49"/>
      <c r="Y61" s="49"/>
      <c r="Z61" s="49">
        <v>4</v>
      </c>
      <c r="AA61" s="114">
        <f t="shared" si="7"/>
        <v>5</v>
      </c>
      <c r="AB61" s="101" t="s">
        <v>100</v>
      </c>
      <c r="AC61" s="49">
        <v>1</v>
      </c>
      <c r="AD61" s="101" t="str">
        <f t="shared" si="0"/>
        <v>Very Low</v>
      </c>
      <c r="AE61" s="101">
        <f t="shared" si="4"/>
        <v>5</v>
      </c>
      <c r="AF61" s="102" t="str">
        <f t="shared" ref="AF61:AF80" si="16">IF(AE61=1,"Very Low",IF(AE61=2,"Very Low",IF(AE61=3,"Very Low",IF(AE61=4,"Very Low",IF(AE61=5,"Very Low",IF(AE61=6,"Very Low",IF(AE61=8,"Low",IF(AE61=9,"Low",IF(AE61=10,"Medium",IF(AE61=12,"Medium",IF(AE61=15,"High",IF(AE61=16,"High",IF(AE61=20,"Very High",IF(AE61=25,"Very High",))))))))))))))</f>
        <v>Very Low</v>
      </c>
      <c r="AG61" s="50" t="s">
        <v>88</v>
      </c>
      <c r="AH61" s="51">
        <v>1</v>
      </c>
      <c r="AI61" s="137"/>
      <c r="AJ61" s="49"/>
      <c r="AK61" s="49"/>
      <c r="AL61" s="101" t="str">
        <f t="shared" ref="AL61:AL80" si="17">IF(AH61=1,"Very Low",IF(AH61=2,"Low",IF(AH61=3,"Medium",IF(AH61=4,"High",IF(AH61=5,"Very High",)))))</f>
        <v>Very Low</v>
      </c>
      <c r="AM61" s="49">
        <v>2</v>
      </c>
      <c r="AN61" s="101" t="str">
        <f t="shared" ref="AN61:AN80" si="18">IF(AM61=1,"Very Low",IF(AM61=2,"Low",IF(AM61=3,"Medium",IF(AM61=4,"High",IF(AM61=5,"Very High",)))))</f>
        <v>Low</v>
      </c>
      <c r="AO61" s="101">
        <f t="shared" si="15"/>
        <v>2</v>
      </c>
      <c r="AP61" s="101" t="str">
        <f t="shared" si="3"/>
        <v>Very Low</v>
      </c>
      <c r="AQ61" s="49" t="s">
        <v>89</v>
      </c>
      <c r="AR61" s="49" t="s">
        <v>575</v>
      </c>
      <c r="AS61" s="49" t="s">
        <v>576</v>
      </c>
      <c r="AT61" s="55">
        <v>45814</v>
      </c>
      <c r="AU61" s="53" t="s">
        <v>102</v>
      </c>
      <c r="AV61" s="52">
        <v>45719</v>
      </c>
      <c r="AW61" s="156" t="s">
        <v>577</v>
      </c>
    </row>
    <row r="62" spans="1:49" s="3" customFormat="1" ht="120" x14ac:dyDescent="0.2">
      <c r="A62" s="49">
        <v>60</v>
      </c>
      <c r="B62" s="57" t="s">
        <v>578</v>
      </c>
      <c r="C62" s="49" t="s">
        <v>164</v>
      </c>
      <c r="D62" s="57" t="s">
        <v>185</v>
      </c>
      <c r="E62" s="57" t="s">
        <v>579</v>
      </c>
      <c r="F62" s="57" t="s">
        <v>580</v>
      </c>
      <c r="G62" s="57" t="s">
        <v>566</v>
      </c>
      <c r="H62" s="57" t="s">
        <v>581</v>
      </c>
      <c r="I62" s="57" t="s">
        <v>582</v>
      </c>
      <c r="J62" s="57" t="s">
        <v>583</v>
      </c>
      <c r="K62" s="58" t="s">
        <v>584</v>
      </c>
      <c r="L62" s="57" t="s">
        <v>585</v>
      </c>
      <c r="M62" s="57" t="s">
        <v>586</v>
      </c>
      <c r="N62" s="57" t="s">
        <v>164</v>
      </c>
      <c r="O62" s="57" t="s">
        <v>552</v>
      </c>
      <c r="P62" s="57" t="s">
        <v>587</v>
      </c>
      <c r="Q62" s="57" t="s">
        <v>588</v>
      </c>
      <c r="R62" s="57">
        <v>3</v>
      </c>
      <c r="S62" s="57">
        <v>2</v>
      </c>
      <c r="T62" s="57">
        <v>2</v>
      </c>
      <c r="U62" s="57">
        <v>3</v>
      </c>
      <c r="V62" s="57">
        <v>3</v>
      </c>
      <c r="W62" s="57">
        <v>3</v>
      </c>
      <c r="X62" s="57">
        <v>5</v>
      </c>
      <c r="Y62" s="57">
        <v>3</v>
      </c>
      <c r="Z62" s="57">
        <v>3</v>
      </c>
      <c r="AA62" s="115">
        <v>5</v>
      </c>
      <c r="AB62" s="104" t="s">
        <v>100</v>
      </c>
      <c r="AC62" s="57">
        <v>5</v>
      </c>
      <c r="AD62" s="104" t="s">
        <v>100</v>
      </c>
      <c r="AE62" s="101">
        <f t="shared" si="4"/>
        <v>25</v>
      </c>
      <c r="AF62" s="103" t="str">
        <f t="shared" si="16"/>
        <v>Very High</v>
      </c>
      <c r="AG62" s="57" t="s">
        <v>88</v>
      </c>
      <c r="AH62" s="57">
        <v>2</v>
      </c>
      <c r="AI62" s="57"/>
      <c r="AJ62" s="57"/>
      <c r="AK62" s="57"/>
      <c r="AL62" s="104" t="str">
        <f t="shared" si="17"/>
        <v>Low</v>
      </c>
      <c r="AM62" s="57">
        <v>2</v>
      </c>
      <c r="AN62" s="104" t="str">
        <f t="shared" si="18"/>
        <v>Low</v>
      </c>
      <c r="AO62" s="104">
        <f t="shared" si="15"/>
        <v>4</v>
      </c>
      <c r="AP62" s="104" t="str">
        <f t="shared" si="3"/>
        <v>Very Low</v>
      </c>
      <c r="AQ62" s="57" t="s">
        <v>89</v>
      </c>
      <c r="AR62" s="57" t="s">
        <v>589</v>
      </c>
      <c r="AS62" s="57" t="s">
        <v>590</v>
      </c>
      <c r="AT62" s="147">
        <v>46022</v>
      </c>
      <c r="AU62" s="53" t="s">
        <v>102</v>
      </c>
      <c r="AV62" s="52">
        <v>45725</v>
      </c>
      <c r="AW62" s="57"/>
    </row>
    <row r="63" spans="1:49" s="3" customFormat="1" ht="105" x14ac:dyDescent="0.2">
      <c r="A63" s="49">
        <v>61</v>
      </c>
      <c r="B63" s="57" t="s">
        <v>591</v>
      </c>
      <c r="C63" s="49" t="s">
        <v>18</v>
      </c>
      <c r="D63" s="57" t="s">
        <v>226</v>
      </c>
      <c r="E63" s="57" t="s">
        <v>335</v>
      </c>
      <c r="F63" s="57" t="s">
        <v>592</v>
      </c>
      <c r="G63" s="57" t="s">
        <v>566</v>
      </c>
      <c r="H63" s="49" t="s">
        <v>593</v>
      </c>
      <c r="I63" s="57" t="s">
        <v>594</v>
      </c>
      <c r="J63" s="57" t="s">
        <v>595</v>
      </c>
      <c r="K63" s="57" t="s">
        <v>596</v>
      </c>
      <c r="L63" s="57" t="s">
        <v>597</v>
      </c>
      <c r="M63" s="57" t="s">
        <v>598</v>
      </c>
      <c r="N63" s="57" t="s">
        <v>599</v>
      </c>
      <c r="O63" s="57" t="s">
        <v>85</v>
      </c>
      <c r="P63" s="57" t="s">
        <v>86</v>
      </c>
      <c r="Q63" s="57" t="s">
        <v>600</v>
      </c>
      <c r="R63" s="57">
        <v>2</v>
      </c>
      <c r="S63" s="57">
        <v>4</v>
      </c>
      <c r="T63" s="57"/>
      <c r="U63" s="57"/>
      <c r="V63" s="57">
        <v>2</v>
      </c>
      <c r="W63" s="57"/>
      <c r="X63" s="57"/>
      <c r="Y63" s="57">
        <v>3</v>
      </c>
      <c r="Z63" s="57"/>
      <c r="AA63" s="115">
        <f t="shared" ref="AA63:AA80" si="19">MAX(R63:Z63)</f>
        <v>4</v>
      </c>
      <c r="AB63" s="104" t="s">
        <v>87</v>
      </c>
      <c r="AC63" s="57">
        <v>3</v>
      </c>
      <c r="AD63" s="104" t="str">
        <f>IF(AC63=1,"Very Low",IF(AC63=2,"Low",IF(AC63=3,"Medium",IF(AC63=4,"High",IF(AC63=5,"Very High",)))))</f>
        <v>Medium</v>
      </c>
      <c r="AE63" s="101">
        <f t="shared" si="4"/>
        <v>12</v>
      </c>
      <c r="AF63" s="104" t="str">
        <f t="shared" si="16"/>
        <v>Medium</v>
      </c>
      <c r="AG63" s="57" t="s">
        <v>88</v>
      </c>
      <c r="AH63" s="57">
        <v>3</v>
      </c>
      <c r="AI63" s="57"/>
      <c r="AJ63" s="57"/>
      <c r="AK63" s="57"/>
      <c r="AL63" s="104" t="str">
        <f>IF(AH63=1,"Very Low",IF(AH63=2,"Low",IF(AH63=3,"Medium",IF(AH63=4,"High",IF(AH63=5,"Very High",)))))</f>
        <v>Medium</v>
      </c>
      <c r="AM63" s="57">
        <v>2</v>
      </c>
      <c r="AN63" s="104" t="str">
        <f>IF(AM63=1,"Very Low",IF(AM63=2,"Low",IF(AM63=3,"Medium",IF(AM63=4,"High",IF(AM63=5,"Very High",)))))</f>
        <v>Low</v>
      </c>
      <c r="AO63" s="104">
        <f t="shared" si="15"/>
        <v>6</v>
      </c>
      <c r="AP63" s="104" t="str">
        <f>IF(AO63=1,"Very Low",IF(AO63=2,"Very Low",IF(AO63=3,"Very Low",IF(AO63=4,"Very Low",IF(AO63=5,"Very Low",IF(AO63=6,"Very Low",IF(AO63=8,"Low",IF(AO63=9,"Low",IF(AO63=10,"Medium",IF(AO63=12,"Medium",IF(AO63=15,"High",IF(AO63=16,"High",IF(AO63=20,"Very High",IF(AO63=25,"Very High",))))))))))))))</f>
        <v>Very Low</v>
      </c>
      <c r="AQ63" s="57" t="s">
        <v>89</v>
      </c>
      <c r="AR63" s="57" t="s">
        <v>601</v>
      </c>
      <c r="AS63" s="57" t="s">
        <v>595</v>
      </c>
      <c r="AT63" s="122">
        <v>45838</v>
      </c>
      <c r="AU63" s="53" t="s">
        <v>102</v>
      </c>
      <c r="AV63" s="52">
        <v>45721</v>
      </c>
      <c r="AW63" s="57"/>
    </row>
    <row r="64" spans="1:49" s="3" customFormat="1" ht="60" x14ac:dyDescent="0.2">
      <c r="A64" s="49">
        <v>62</v>
      </c>
      <c r="B64" s="57" t="s">
        <v>602</v>
      </c>
      <c r="C64" s="49" t="s">
        <v>18</v>
      </c>
      <c r="D64" s="57" t="s">
        <v>226</v>
      </c>
      <c r="E64" s="57" t="s">
        <v>335</v>
      </c>
      <c r="F64" s="57" t="s">
        <v>592</v>
      </c>
      <c r="G64" s="57" t="s">
        <v>566</v>
      </c>
      <c r="H64" s="57" t="s">
        <v>603</v>
      </c>
      <c r="I64" s="57" t="s">
        <v>604</v>
      </c>
      <c r="J64" s="57" t="s">
        <v>595</v>
      </c>
      <c r="K64" s="57" t="s">
        <v>605</v>
      </c>
      <c r="L64" s="57" t="s">
        <v>606</v>
      </c>
      <c r="M64" s="57" t="s">
        <v>607</v>
      </c>
      <c r="N64" s="57" t="s">
        <v>608</v>
      </c>
      <c r="O64" s="57" t="s">
        <v>85</v>
      </c>
      <c r="P64" s="57" t="s">
        <v>86</v>
      </c>
      <c r="Q64" s="57" t="s">
        <v>609</v>
      </c>
      <c r="R64" s="57">
        <v>2</v>
      </c>
      <c r="S64" s="57">
        <v>3</v>
      </c>
      <c r="T64" s="57"/>
      <c r="U64" s="57"/>
      <c r="V64" s="57"/>
      <c r="W64" s="57"/>
      <c r="X64" s="57"/>
      <c r="Y64" s="57">
        <v>3</v>
      </c>
      <c r="Z64" s="57"/>
      <c r="AA64" s="115">
        <f t="shared" si="19"/>
        <v>3</v>
      </c>
      <c r="AB64" s="104" t="s">
        <v>109</v>
      </c>
      <c r="AC64" s="57">
        <v>3</v>
      </c>
      <c r="AD64" s="104" t="str">
        <f>IF(AC64=1,"Very Low",IF(AC64=2,"Low",IF(AC64=3,"Medium",IF(AC64=4,"High",IF(AC64=5,"Very High",)))))</f>
        <v>Medium</v>
      </c>
      <c r="AE64" s="101">
        <f t="shared" si="4"/>
        <v>9</v>
      </c>
      <c r="AF64" s="103" t="str">
        <f t="shared" si="16"/>
        <v>Low</v>
      </c>
      <c r="AG64" s="57" t="s">
        <v>150</v>
      </c>
      <c r="AH64" s="57">
        <v>2</v>
      </c>
      <c r="AI64" s="57"/>
      <c r="AJ64" s="57"/>
      <c r="AK64" s="57"/>
      <c r="AL64" s="104" t="str">
        <f>IF(AH64=1,"Very Low",IF(AH64=2,"Low",IF(AH64=3,"Medium",IF(AH64=4,"High",IF(AH64=5,"Very High",)))))</f>
        <v>Low</v>
      </c>
      <c r="AM64" s="57">
        <v>2</v>
      </c>
      <c r="AN64" s="104" t="str">
        <f>IF(AM64=1,"Very Low",IF(AM64=2,"Low",IF(AM64=3,"Medium",IF(AM64=4,"High",IF(AM64=5,"Very High",)))))</f>
        <v>Low</v>
      </c>
      <c r="AO64" s="104">
        <f t="shared" si="15"/>
        <v>4</v>
      </c>
      <c r="AP64" s="104" t="str">
        <f>IF(AO64=1,"Very Low",IF(AO64=2,"Very Low",IF(AO64=3,"Very Low",IF(AO64=4,"Very Low",IF(AO64=5,"Very Low",IF(AO64=6,"Very Low",IF(AO64=8,"Low",IF(AO64=9,"Low",IF(AO64=10,"Medium",IF(AO64=12,"Medium",IF(AO64=15,"High",IF(AO64=16,"High",IF(AO64=20,"Very High",IF(AO64=25,"Very High",))))))))))))))</f>
        <v>Very Low</v>
      </c>
      <c r="AQ64" s="57" t="s">
        <v>89</v>
      </c>
      <c r="AR64" s="57" t="s">
        <v>610</v>
      </c>
      <c r="AS64" s="57" t="s">
        <v>595</v>
      </c>
      <c r="AT64" s="55">
        <v>45657</v>
      </c>
      <c r="AU64" s="53" t="s">
        <v>140</v>
      </c>
      <c r="AV64" s="52">
        <v>45721</v>
      </c>
      <c r="AW64" s="57"/>
    </row>
    <row r="65" spans="1:49" s="3" customFormat="1" ht="135" x14ac:dyDescent="0.2">
      <c r="A65" s="49">
        <v>63</v>
      </c>
      <c r="B65" s="57" t="s">
        <v>611</v>
      </c>
      <c r="C65" s="49" t="s">
        <v>18</v>
      </c>
      <c r="D65" s="57" t="s">
        <v>226</v>
      </c>
      <c r="E65" s="57" t="s">
        <v>335</v>
      </c>
      <c r="F65" s="57" t="s">
        <v>612</v>
      </c>
      <c r="G65" s="57" t="s">
        <v>566</v>
      </c>
      <c r="H65" s="57" t="s">
        <v>613</v>
      </c>
      <c r="I65" s="57" t="s">
        <v>614</v>
      </c>
      <c r="J65" s="57" t="s">
        <v>615</v>
      </c>
      <c r="K65" s="57" t="s">
        <v>616</v>
      </c>
      <c r="L65" s="57" t="s">
        <v>617</v>
      </c>
      <c r="M65" s="57" t="s">
        <v>618</v>
      </c>
      <c r="N65" s="57" t="s">
        <v>619</v>
      </c>
      <c r="O65" s="57" t="s">
        <v>85</v>
      </c>
      <c r="P65" s="57" t="s">
        <v>441</v>
      </c>
      <c r="Q65" s="57" t="s">
        <v>620</v>
      </c>
      <c r="R65" s="57">
        <v>1</v>
      </c>
      <c r="S65" s="57">
        <v>3</v>
      </c>
      <c r="T65" s="57">
        <v>1</v>
      </c>
      <c r="U65" s="57">
        <v>1</v>
      </c>
      <c r="V65" s="57">
        <v>2</v>
      </c>
      <c r="W65" s="57">
        <v>1</v>
      </c>
      <c r="X65" s="57">
        <v>1</v>
      </c>
      <c r="Y65" s="57">
        <v>1</v>
      </c>
      <c r="Z65" s="57">
        <v>1</v>
      </c>
      <c r="AA65" s="115">
        <f t="shared" si="19"/>
        <v>3</v>
      </c>
      <c r="AB65" s="104" t="s">
        <v>109</v>
      </c>
      <c r="AC65" s="57">
        <v>2</v>
      </c>
      <c r="AD65" s="104" t="s">
        <v>295</v>
      </c>
      <c r="AE65" s="101">
        <f t="shared" si="4"/>
        <v>6</v>
      </c>
      <c r="AF65" s="103" t="str">
        <f t="shared" si="16"/>
        <v>Very Low</v>
      </c>
      <c r="AG65" s="57" t="s">
        <v>150</v>
      </c>
      <c r="AH65" s="57">
        <v>2</v>
      </c>
      <c r="AI65" s="57"/>
      <c r="AJ65" s="57"/>
      <c r="AK65" s="57"/>
      <c r="AL65" s="104" t="s">
        <v>295</v>
      </c>
      <c r="AM65" s="57">
        <v>1</v>
      </c>
      <c r="AN65" s="104" t="s">
        <v>118</v>
      </c>
      <c r="AO65" s="104">
        <f t="shared" si="15"/>
        <v>2</v>
      </c>
      <c r="AP65" s="104" t="s">
        <v>295</v>
      </c>
      <c r="AQ65" s="57" t="s">
        <v>89</v>
      </c>
      <c r="AR65" s="57" t="s">
        <v>621</v>
      </c>
      <c r="AS65" s="57" t="s">
        <v>622</v>
      </c>
      <c r="AT65" s="55">
        <v>45657</v>
      </c>
      <c r="AU65" s="53" t="s">
        <v>102</v>
      </c>
      <c r="AV65" s="60">
        <v>45481</v>
      </c>
      <c r="AW65" s="57"/>
    </row>
    <row r="66" spans="1:49" s="3" customFormat="1" ht="120" x14ac:dyDescent="0.2">
      <c r="A66" s="49">
        <v>64</v>
      </c>
      <c r="B66" s="57" t="s">
        <v>623</v>
      </c>
      <c r="C66" s="49" t="s">
        <v>18</v>
      </c>
      <c r="D66" s="57" t="s">
        <v>226</v>
      </c>
      <c r="E66" s="57" t="s">
        <v>335</v>
      </c>
      <c r="F66" s="57" t="s">
        <v>612</v>
      </c>
      <c r="G66" s="57" t="s">
        <v>566</v>
      </c>
      <c r="H66" s="57" t="s">
        <v>624</v>
      </c>
      <c r="I66" s="61" t="s">
        <v>625</v>
      </c>
      <c r="J66" s="57" t="s">
        <v>615</v>
      </c>
      <c r="K66" s="57" t="s">
        <v>616</v>
      </c>
      <c r="L66" s="57" t="s">
        <v>626</v>
      </c>
      <c r="M66" s="57" t="s">
        <v>627</v>
      </c>
      <c r="N66" s="57" t="s">
        <v>619</v>
      </c>
      <c r="O66" s="57" t="s">
        <v>85</v>
      </c>
      <c r="P66" s="57" t="s">
        <v>86</v>
      </c>
      <c r="Q66" s="57" t="s">
        <v>628</v>
      </c>
      <c r="R66" s="57">
        <v>2</v>
      </c>
      <c r="S66" s="57">
        <v>3</v>
      </c>
      <c r="T66" s="57">
        <v>1</v>
      </c>
      <c r="U66" s="57">
        <v>1</v>
      </c>
      <c r="V66" s="57">
        <v>2</v>
      </c>
      <c r="W66" s="57">
        <v>1</v>
      </c>
      <c r="X66" s="57">
        <v>1</v>
      </c>
      <c r="Y66" s="57">
        <v>1</v>
      </c>
      <c r="Z66" s="57">
        <v>1</v>
      </c>
      <c r="AA66" s="115">
        <f t="shared" si="19"/>
        <v>3</v>
      </c>
      <c r="AB66" s="104" t="s">
        <v>109</v>
      </c>
      <c r="AC66" s="57">
        <v>1</v>
      </c>
      <c r="AD66" s="104" t="s">
        <v>295</v>
      </c>
      <c r="AE66" s="101">
        <f t="shared" si="4"/>
        <v>3</v>
      </c>
      <c r="AF66" s="103" t="str">
        <f t="shared" si="16"/>
        <v>Very Low</v>
      </c>
      <c r="AG66" s="57" t="s">
        <v>150</v>
      </c>
      <c r="AH66" s="57">
        <v>2</v>
      </c>
      <c r="AI66" s="57"/>
      <c r="AJ66" s="57"/>
      <c r="AK66" s="57"/>
      <c r="AL66" s="104" t="s">
        <v>295</v>
      </c>
      <c r="AM66" s="57">
        <v>1</v>
      </c>
      <c r="AN66" s="104" t="s">
        <v>295</v>
      </c>
      <c r="AO66" s="104">
        <f t="shared" si="15"/>
        <v>2</v>
      </c>
      <c r="AP66" s="104" t="s">
        <v>295</v>
      </c>
      <c r="AQ66" s="57" t="s">
        <v>629</v>
      </c>
      <c r="AR66" s="61" t="s">
        <v>630</v>
      </c>
      <c r="AS66" s="61" t="s">
        <v>631</v>
      </c>
      <c r="AT66" s="55">
        <v>45657</v>
      </c>
      <c r="AU66" s="53" t="s">
        <v>102</v>
      </c>
      <c r="AV66" s="52">
        <v>45481</v>
      </c>
      <c r="AW66" s="57" t="s">
        <v>632</v>
      </c>
    </row>
    <row r="67" spans="1:49" s="3" customFormat="1" ht="180" x14ac:dyDescent="0.2">
      <c r="A67" s="49">
        <v>65</v>
      </c>
      <c r="B67" s="57" t="s">
        <v>633</v>
      </c>
      <c r="C67" s="49" t="s">
        <v>18</v>
      </c>
      <c r="D67" s="57" t="s">
        <v>226</v>
      </c>
      <c r="E67" s="57" t="s">
        <v>335</v>
      </c>
      <c r="F67" s="57" t="s">
        <v>612</v>
      </c>
      <c r="G67" s="57" t="s">
        <v>566</v>
      </c>
      <c r="H67" s="57" t="s">
        <v>634</v>
      </c>
      <c r="I67" s="57" t="s">
        <v>635</v>
      </c>
      <c r="J67" s="62" t="s">
        <v>631</v>
      </c>
      <c r="K67" s="57" t="s">
        <v>636</v>
      </c>
      <c r="L67" s="57" t="s">
        <v>637</v>
      </c>
      <c r="M67" s="57" t="s">
        <v>638</v>
      </c>
      <c r="N67" s="57" t="s">
        <v>639</v>
      </c>
      <c r="O67" s="57" t="s">
        <v>85</v>
      </c>
      <c r="P67" s="57" t="s">
        <v>441</v>
      </c>
      <c r="Q67" s="57" t="s">
        <v>640</v>
      </c>
      <c r="R67" s="57">
        <v>3</v>
      </c>
      <c r="S67" s="57">
        <v>4</v>
      </c>
      <c r="T67" s="57">
        <v>1</v>
      </c>
      <c r="U67" s="57">
        <v>1</v>
      </c>
      <c r="V67" s="57">
        <v>1</v>
      </c>
      <c r="W67" s="57">
        <v>2</v>
      </c>
      <c r="X67" s="57">
        <v>1</v>
      </c>
      <c r="Y67" s="57">
        <v>1</v>
      </c>
      <c r="Z67" s="57">
        <v>3</v>
      </c>
      <c r="AA67" s="115">
        <f t="shared" si="19"/>
        <v>4</v>
      </c>
      <c r="AB67" s="104" t="s">
        <v>87</v>
      </c>
      <c r="AC67" s="57">
        <v>1</v>
      </c>
      <c r="AD67" s="104" t="s">
        <v>295</v>
      </c>
      <c r="AE67" s="101">
        <f t="shared" si="4"/>
        <v>4</v>
      </c>
      <c r="AF67" s="103" t="str">
        <f t="shared" si="16"/>
        <v>Very Low</v>
      </c>
      <c r="AG67" s="57" t="s">
        <v>150</v>
      </c>
      <c r="AH67" s="57">
        <v>3</v>
      </c>
      <c r="AI67" s="57"/>
      <c r="AJ67" s="57"/>
      <c r="AK67" s="57"/>
      <c r="AL67" s="104" t="s">
        <v>295</v>
      </c>
      <c r="AM67" s="57">
        <v>1</v>
      </c>
      <c r="AN67" s="104" t="s">
        <v>295</v>
      </c>
      <c r="AO67" s="104">
        <f t="shared" si="15"/>
        <v>3</v>
      </c>
      <c r="AP67" s="104" t="s">
        <v>295</v>
      </c>
      <c r="AQ67" s="57" t="s">
        <v>629</v>
      </c>
      <c r="AR67" s="61" t="s">
        <v>641</v>
      </c>
      <c r="AS67" s="57" t="s">
        <v>631</v>
      </c>
      <c r="AT67" s="55">
        <v>45657</v>
      </c>
      <c r="AU67" s="53" t="s">
        <v>140</v>
      </c>
      <c r="AV67" s="52">
        <v>45481</v>
      </c>
      <c r="AW67" s="57" t="s">
        <v>642</v>
      </c>
    </row>
    <row r="68" spans="1:49" s="3" customFormat="1" ht="150" x14ac:dyDescent="0.2">
      <c r="A68" s="49">
        <v>66</v>
      </c>
      <c r="B68" s="57" t="s">
        <v>643</v>
      </c>
      <c r="C68" s="49" t="s">
        <v>18</v>
      </c>
      <c r="D68" s="57" t="s">
        <v>226</v>
      </c>
      <c r="E68" s="57" t="s">
        <v>335</v>
      </c>
      <c r="F68" s="57" t="s">
        <v>612</v>
      </c>
      <c r="G68" s="57" t="s">
        <v>566</v>
      </c>
      <c r="H68" s="57" t="s">
        <v>644</v>
      </c>
      <c r="I68" s="63" t="s">
        <v>645</v>
      </c>
      <c r="J68" s="57" t="s">
        <v>615</v>
      </c>
      <c r="K68" s="57" t="s">
        <v>646</v>
      </c>
      <c r="L68" s="64" t="s">
        <v>647</v>
      </c>
      <c r="M68" s="57" t="s">
        <v>648</v>
      </c>
      <c r="N68" s="57" t="s">
        <v>649</v>
      </c>
      <c r="O68" s="57" t="s">
        <v>85</v>
      </c>
      <c r="P68" s="57" t="s">
        <v>86</v>
      </c>
      <c r="Q68" s="57"/>
      <c r="R68" s="57">
        <v>3</v>
      </c>
      <c r="S68" s="57">
        <v>3</v>
      </c>
      <c r="T68" s="57">
        <v>1</v>
      </c>
      <c r="U68" s="57">
        <v>1</v>
      </c>
      <c r="V68" s="57">
        <v>1</v>
      </c>
      <c r="W68" s="57">
        <v>2</v>
      </c>
      <c r="X68" s="57">
        <v>1</v>
      </c>
      <c r="Y68" s="57">
        <v>1</v>
      </c>
      <c r="Z68" s="57">
        <v>1</v>
      </c>
      <c r="AA68" s="115">
        <f t="shared" si="19"/>
        <v>3</v>
      </c>
      <c r="AB68" s="104" t="s">
        <v>109</v>
      </c>
      <c r="AC68" s="57">
        <v>2</v>
      </c>
      <c r="AD68" s="104" t="s">
        <v>118</v>
      </c>
      <c r="AE68" s="101">
        <f t="shared" ref="AE68:AE131" si="20">AA68*AC68</f>
        <v>6</v>
      </c>
      <c r="AF68" s="103" t="str">
        <f t="shared" si="16"/>
        <v>Very Low</v>
      </c>
      <c r="AG68" s="57" t="s">
        <v>150</v>
      </c>
      <c r="AH68" s="57">
        <v>2</v>
      </c>
      <c r="AI68" s="57"/>
      <c r="AJ68" s="57"/>
      <c r="AK68" s="57"/>
      <c r="AL68" s="104" t="s">
        <v>109</v>
      </c>
      <c r="AM68" s="57">
        <v>2</v>
      </c>
      <c r="AN68" s="104" t="s">
        <v>118</v>
      </c>
      <c r="AO68" s="104">
        <v>2</v>
      </c>
      <c r="AP68" s="104" t="s">
        <v>295</v>
      </c>
      <c r="AQ68" s="57" t="s">
        <v>629</v>
      </c>
      <c r="AR68" s="61" t="s">
        <v>650</v>
      </c>
      <c r="AS68" s="57" t="s">
        <v>651</v>
      </c>
      <c r="AT68" s="55">
        <v>45657</v>
      </c>
      <c r="AU68" s="53" t="s">
        <v>140</v>
      </c>
      <c r="AV68" s="52">
        <v>45481</v>
      </c>
      <c r="AW68" s="57" t="s">
        <v>652</v>
      </c>
    </row>
    <row r="69" spans="1:49" s="3" customFormat="1" ht="120" x14ac:dyDescent="0.2">
      <c r="A69" s="49">
        <v>67</v>
      </c>
      <c r="B69" s="57" t="s">
        <v>653</v>
      </c>
      <c r="C69" s="49" t="s">
        <v>654</v>
      </c>
      <c r="D69" s="57" t="s">
        <v>185</v>
      </c>
      <c r="E69" s="57" t="s">
        <v>186</v>
      </c>
      <c r="F69" s="57" t="s">
        <v>580</v>
      </c>
      <c r="G69" s="57" t="s">
        <v>566</v>
      </c>
      <c r="H69" s="57" t="s">
        <v>655</v>
      </c>
      <c r="I69" s="57" t="s">
        <v>656</v>
      </c>
      <c r="J69" s="57" t="s">
        <v>583</v>
      </c>
      <c r="K69" s="57" t="s">
        <v>657</v>
      </c>
      <c r="L69" s="57" t="s">
        <v>658</v>
      </c>
      <c r="M69" s="57" t="s">
        <v>659</v>
      </c>
      <c r="N69" s="57" t="s">
        <v>660</v>
      </c>
      <c r="O69" s="57" t="s">
        <v>85</v>
      </c>
      <c r="P69" s="57" t="s">
        <v>661</v>
      </c>
      <c r="Q69" s="57" t="s">
        <v>662</v>
      </c>
      <c r="R69" s="57">
        <v>2</v>
      </c>
      <c r="S69" s="57">
        <v>2</v>
      </c>
      <c r="T69" s="57"/>
      <c r="U69" s="57">
        <v>4</v>
      </c>
      <c r="V69" s="57">
        <v>5</v>
      </c>
      <c r="W69" s="57">
        <v>4</v>
      </c>
      <c r="X69" s="57">
        <v>3</v>
      </c>
      <c r="Y69" s="57"/>
      <c r="Z69" s="57">
        <v>4</v>
      </c>
      <c r="AA69" s="115">
        <f t="shared" si="19"/>
        <v>5</v>
      </c>
      <c r="AB69" s="104" t="s">
        <v>100</v>
      </c>
      <c r="AC69" s="57">
        <v>3</v>
      </c>
      <c r="AD69" s="104" t="str">
        <f t="shared" ref="AD69:AD80" si="21">IF(AC69=1,"Very Low",IF(AC69=2,"Low",IF(AC69=3,"Medium",IF(AC69=4,"High",IF(AC69=5,"Very High",)))))</f>
        <v>Medium</v>
      </c>
      <c r="AE69" s="101">
        <f t="shared" si="20"/>
        <v>15</v>
      </c>
      <c r="AF69" s="104" t="str">
        <f t="shared" si="16"/>
        <v>High</v>
      </c>
      <c r="AG69" s="57" t="s">
        <v>315</v>
      </c>
      <c r="AH69" s="57">
        <v>4</v>
      </c>
      <c r="AI69" s="57"/>
      <c r="AJ69" s="57"/>
      <c r="AK69" s="57"/>
      <c r="AL69" s="104" t="str">
        <f t="shared" ref="AL69:AL75" si="22">IF(AH69=1,"Very Low",IF(AH69=2,"Low",IF(AH69=3,"Medium",IF(AH69=4,"High",IF(AH69=5,"Very High",)))))</f>
        <v>High</v>
      </c>
      <c r="AM69" s="57">
        <v>2</v>
      </c>
      <c r="AN69" s="104" t="str">
        <f t="shared" ref="AN69:AN75" si="23">IF(AM69=1,"Very Low",IF(AM69=2,"Low",IF(AM69=3,"Medium",IF(AM69=4,"High",IF(AM69=5,"Very High",)))))</f>
        <v>Low</v>
      </c>
      <c r="AO69" s="104">
        <f t="shared" si="15"/>
        <v>8</v>
      </c>
      <c r="AP69" s="104" t="str">
        <f t="shared" ref="AP69:AP80" si="24">IF(AO69=1,"Very Low",IF(AO69=2,"Very Low",IF(AO69=3,"Very Low",IF(AO69=4,"Very Low",IF(AO69=5,"Very Low",IF(AO69=6,"Very Low",IF(AO69=8,"Low",IF(AO69=9,"Low",IF(AO69=10,"Medium",IF(AO69=12,"Medium",IF(AO69=15,"High",IF(AO69=16,"High",IF(AO69=20,"Very High",IF(AO69=25,"Very High",))))))))))))))</f>
        <v>Low</v>
      </c>
      <c r="AQ69" s="57" t="s">
        <v>89</v>
      </c>
      <c r="AR69" s="61" t="s">
        <v>663</v>
      </c>
      <c r="AS69" s="57" t="s">
        <v>664</v>
      </c>
      <c r="AT69" s="55">
        <v>45809</v>
      </c>
      <c r="AU69" s="53" t="s">
        <v>102</v>
      </c>
      <c r="AV69" s="52">
        <v>45717</v>
      </c>
      <c r="AW69" s="57" t="s">
        <v>665</v>
      </c>
    </row>
    <row r="70" spans="1:49" s="3" customFormat="1" ht="135" x14ac:dyDescent="0.2">
      <c r="A70" s="49">
        <v>68</v>
      </c>
      <c r="B70" s="65" t="s">
        <v>666</v>
      </c>
      <c r="C70" s="49" t="s">
        <v>240</v>
      </c>
      <c r="D70" s="57" t="s">
        <v>185</v>
      </c>
      <c r="E70" s="57" t="s">
        <v>186</v>
      </c>
      <c r="F70" s="57" t="s">
        <v>580</v>
      </c>
      <c r="G70" s="57" t="s">
        <v>566</v>
      </c>
      <c r="H70" s="66" t="s">
        <v>667</v>
      </c>
      <c r="I70" s="67" t="s">
        <v>668</v>
      </c>
      <c r="J70" s="57" t="s">
        <v>583</v>
      </c>
      <c r="K70" s="57" t="s">
        <v>669</v>
      </c>
      <c r="L70" s="66" t="s">
        <v>670</v>
      </c>
      <c r="M70" s="57" t="s">
        <v>671</v>
      </c>
      <c r="N70" s="57" t="s">
        <v>672</v>
      </c>
      <c r="O70" s="57" t="s">
        <v>85</v>
      </c>
      <c r="P70" s="57" t="s">
        <v>673</v>
      </c>
      <c r="Q70" s="57" t="s">
        <v>674</v>
      </c>
      <c r="R70" s="57">
        <v>3</v>
      </c>
      <c r="S70" s="57">
        <v>5</v>
      </c>
      <c r="T70" s="57"/>
      <c r="U70" s="57">
        <v>4</v>
      </c>
      <c r="V70" s="57">
        <v>5</v>
      </c>
      <c r="W70" s="57">
        <v>4</v>
      </c>
      <c r="X70" s="57">
        <v>4</v>
      </c>
      <c r="Y70" s="57"/>
      <c r="Z70" s="57">
        <v>1</v>
      </c>
      <c r="AA70" s="115">
        <f t="shared" si="19"/>
        <v>5</v>
      </c>
      <c r="AB70" s="104" t="s">
        <v>100</v>
      </c>
      <c r="AC70" s="57">
        <v>2</v>
      </c>
      <c r="AD70" s="104" t="str">
        <f t="shared" si="21"/>
        <v>Low</v>
      </c>
      <c r="AE70" s="101">
        <f t="shared" si="20"/>
        <v>10</v>
      </c>
      <c r="AF70" s="103" t="str">
        <f t="shared" si="16"/>
        <v>Medium</v>
      </c>
      <c r="AG70" s="57" t="s">
        <v>150</v>
      </c>
      <c r="AH70" s="57">
        <v>3</v>
      </c>
      <c r="AI70" s="57"/>
      <c r="AJ70" s="57"/>
      <c r="AK70" s="57"/>
      <c r="AL70" s="104" t="str">
        <f t="shared" si="22"/>
        <v>Medium</v>
      </c>
      <c r="AM70" s="57">
        <v>1</v>
      </c>
      <c r="AN70" s="104" t="str">
        <f t="shared" si="23"/>
        <v>Very Low</v>
      </c>
      <c r="AO70" s="104">
        <f t="shared" si="15"/>
        <v>3</v>
      </c>
      <c r="AP70" s="104" t="str">
        <f t="shared" si="24"/>
        <v>Very Low</v>
      </c>
      <c r="AQ70" s="57" t="s">
        <v>89</v>
      </c>
      <c r="AR70" s="57" t="s">
        <v>675</v>
      </c>
      <c r="AS70" s="57" t="s">
        <v>676</v>
      </c>
      <c r="AT70" s="55">
        <v>45657</v>
      </c>
      <c r="AU70" s="53" t="s">
        <v>140</v>
      </c>
      <c r="AV70" s="52">
        <v>45717</v>
      </c>
      <c r="AW70" s="68"/>
    </row>
    <row r="71" spans="1:49" s="3" customFormat="1" ht="135" x14ac:dyDescent="0.2">
      <c r="A71" s="49">
        <v>69</v>
      </c>
      <c r="B71" s="65" t="s">
        <v>677</v>
      </c>
      <c r="C71" s="49" t="s">
        <v>240</v>
      </c>
      <c r="D71" s="57" t="s">
        <v>185</v>
      </c>
      <c r="E71" s="57" t="s">
        <v>186</v>
      </c>
      <c r="F71" s="57" t="s">
        <v>580</v>
      </c>
      <c r="G71" s="57" t="s">
        <v>566</v>
      </c>
      <c r="H71" s="66" t="s">
        <v>667</v>
      </c>
      <c r="I71" s="67" t="s">
        <v>678</v>
      </c>
      <c r="J71" s="57" t="s">
        <v>583</v>
      </c>
      <c r="K71" s="57" t="s">
        <v>679</v>
      </c>
      <c r="L71" s="67" t="s">
        <v>680</v>
      </c>
      <c r="M71" s="57" t="s">
        <v>681</v>
      </c>
      <c r="N71" s="57" t="s">
        <v>682</v>
      </c>
      <c r="O71" s="57" t="s">
        <v>194</v>
      </c>
      <c r="P71" s="57" t="s">
        <v>683</v>
      </c>
      <c r="Q71" s="63" t="s">
        <v>684</v>
      </c>
      <c r="R71" s="57">
        <v>4</v>
      </c>
      <c r="S71" s="57">
        <v>3</v>
      </c>
      <c r="T71" s="57"/>
      <c r="U71" s="57">
        <v>2</v>
      </c>
      <c r="V71" s="57">
        <v>3</v>
      </c>
      <c r="W71" s="57">
        <v>3</v>
      </c>
      <c r="X71" s="57">
        <v>4</v>
      </c>
      <c r="Y71" s="57"/>
      <c r="Z71" s="57">
        <v>3</v>
      </c>
      <c r="AA71" s="115">
        <f t="shared" si="19"/>
        <v>4</v>
      </c>
      <c r="AB71" s="104" t="s">
        <v>87</v>
      </c>
      <c r="AC71" s="57">
        <v>2</v>
      </c>
      <c r="AD71" s="104" t="str">
        <f t="shared" si="21"/>
        <v>Low</v>
      </c>
      <c r="AE71" s="101">
        <f t="shared" si="20"/>
        <v>8</v>
      </c>
      <c r="AF71" s="103" t="str">
        <f t="shared" si="16"/>
        <v>Low</v>
      </c>
      <c r="AG71" s="57" t="s">
        <v>150</v>
      </c>
      <c r="AH71" s="57">
        <v>3</v>
      </c>
      <c r="AI71" s="57"/>
      <c r="AJ71" s="57"/>
      <c r="AK71" s="57"/>
      <c r="AL71" s="104" t="str">
        <f t="shared" si="22"/>
        <v>Medium</v>
      </c>
      <c r="AM71" s="57">
        <v>1</v>
      </c>
      <c r="AN71" s="104" t="str">
        <f t="shared" si="23"/>
        <v>Very Low</v>
      </c>
      <c r="AO71" s="104">
        <f t="shared" si="15"/>
        <v>3</v>
      </c>
      <c r="AP71" s="104" t="str">
        <f t="shared" si="24"/>
        <v>Very Low</v>
      </c>
      <c r="AQ71" s="57" t="s">
        <v>89</v>
      </c>
      <c r="AR71" s="66" t="s">
        <v>685</v>
      </c>
      <c r="AS71" s="63" t="s">
        <v>686</v>
      </c>
      <c r="AT71" s="55">
        <v>46022</v>
      </c>
      <c r="AU71" s="53" t="s">
        <v>102</v>
      </c>
      <c r="AV71" s="52">
        <v>45717</v>
      </c>
      <c r="AW71" s="69" t="s">
        <v>687</v>
      </c>
    </row>
    <row r="72" spans="1:49" s="3" customFormat="1" ht="105" x14ac:dyDescent="0.2">
      <c r="A72" s="49">
        <v>70</v>
      </c>
      <c r="B72" s="65" t="s">
        <v>688</v>
      </c>
      <c r="C72" s="49" t="s">
        <v>18</v>
      </c>
      <c r="D72" s="57" t="s">
        <v>185</v>
      </c>
      <c r="E72" s="57" t="s">
        <v>186</v>
      </c>
      <c r="F72" s="57" t="s">
        <v>580</v>
      </c>
      <c r="G72" s="57" t="s">
        <v>566</v>
      </c>
      <c r="H72" s="66" t="s">
        <v>689</v>
      </c>
      <c r="I72" s="67" t="s">
        <v>690</v>
      </c>
      <c r="J72" s="63" t="s">
        <v>583</v>
      </c>
      <c r="K72" s="63" t="s">
        <v>691</v>
      </c>
      <c r="L72" s="66" t="s">
        <v>692</v>
      </c>
      <c r="M72" s="57" t="s">
        <v>693</v>
      </c>
      <c r="N72" s="57" t="s">
        <v>694</v>
      </c>
      <c r="O72" s="57" t="s">
        <v>85</v>
      </c>
      <c r="P72" s="57" t="s">
        <v>86</v>
      </c>
      <c r="Q72" s="57" t="s">
        <v>695</v>
      </c>
      <c r="R72" s="57">
        <v>1</v>
      </c>
      <c r="S72" s="57">
        <v>1</v>
      </c>
      <c r="T72" s="57"/>
      <c r="U72" s="57">
        <v>1</v>
      </c>
      <c r="V72" s="57">
        <v>4</v>
      </c>
      <c r="W72" s="57">
        <v>1</v>
      </c>
      <c r="X72" s="57">
        <v>3</v>
      </c>
      <c r="Y72" s="57"/>
      <c r="Z72" s="57">
        <v>2</v>
      </c>
      <c r="AA72" s="115">
        <f t="shared" si="19"/>
        <v>4</v>
      </c>
      <c r="AB72" s="104" t="s">
        <v>87</v>
      </c>
      <c r="AC72" s="57">
        <v>4</v>
      </c>
      <c r="AD72" s="104" t="str">
        <f t="shared" si="21"/>
        <v>High</v>
      </c>
      <c r="AE72" s="101">
        <f t="shared" si="20"/>
        <v>16</v>
      </c>
      <c r="AF72" s="103" t="str">
        <f t="shared" si="16"/>
        <v>High</v>
      </c>
      <c r="AG72" s="57" t="s">
        <v>88</v>
      </c>
      <c r="AH72" s="57">
        <v>3</v>
      </c>
      <c r="AI72" s="57"/>
      <c r="AJ72" s="57"/>
      <c r="AK72" s="57"/>
      <c r="AL72" s="104" t="str">
        <f t="shared" si="22"/>
        <v>Medium</v>
      </c>
      <c r="AM72" s="57">
        <v>3</v>
      </c>
      <c r="AN72" s="104" t="str">
        <f t="shared" si="23"/>
        <v>Medium</v>
      </c>
      <c r="AO72" s="104">
        <f t="shared" si="15"/>
        <v>9</v>
      </c>
      <c r="AP72" s="104" t="str">
        <f t="shared" si="24"/>
        <v>Low</v>
      </c>
      <c r="AQ72" s="57" t="s">
        <v>89</v>
      </c>
      <c r="AR72" s="67" t="s">
        <v>696</v>
      </c>
      <c r="AS72" s="57" t="s">
        <v>697</v>
      </c>
      <c r="AT72" s="147">
        <v>45657</v>
      </c>
      <c r="AU72" s="53" t="s">
        <v>140</v>
      </c>
      <c r="AV72" s="52">
        <v>45717</v>
      </c>
      <c r="AW72" s="69"/>
    </row>
    <row r="73" spans="1:49" s="3" customFormat="1" ht="120" x14ac:dyDescent="0.2">
      <c r="A73" s="49">
        <v>71</v>
      </c>
      <c r="B73" s="65" t="s">
        <v>698</v>
      </c>
      <c r="C73" s="49" t="s">
        <v>699</v>
      </c>
      <c r="D73" s="57" t="s">
        <v>185</v>
      </c>
      <c r="E73" s="57" t="s">
        <v>186</v>
      </c>
      <c r="F73" s="57" t="s">
        <v>580</v>
      </c>
      <c r="G73" s="57" t="s">
        <v>566</v>
      </c>
      <c r="H73" s="66" t="s">
        <v>689</v>
      </c>
      <c r="I73" s="63" t="s">
        <v>700</v>
      </c>
      <c r="J73" s="57" t="s">
        <v>583</v>
      </c>
      <c r="K73" s="57" t="s">
        <v>691</v>
      </c>
      <c r="L73" s="66" t="s">
        <v>701</v>
      </c>
      <c r="M73" s="57" t="s">
        <v>702</v>
      </c>
      <c r="N73" s="57" t="s">
        <v>703</v>
      </c>
      <c r="O73" s="57" t="s">
        <v>85</v>
      </c>
      <c r="P73" s="57" t="s">
        <v>704</v>
      </c>
      <c r="Q73" s="57" t="s">
        <v>705</v>
      </c>
      <c r="R73" s="57">
        <v>1</v>
      </c>
      <c r="S73" s="57">
        <v>1</v>
      </c>
      <c r="T73" s="57"/>
      <c r="U73" s="57">
        <v>1</v>
      </c>
      <c r="V73" s="57">
        <v>2</v>
      </c>
      <c r="W73" s="57">
        <v>3</v>
      </c>
      <c r="X73" s="57">
        <v>3</v>
      </c>
      <c r="Y73" s="57"/>
      <c r="Z73" s="57">
        <v>1</v>
      </c>
      <c r="AA73" s="115">
        <f t="shared" si="19"/>
        <v>3</v>
      </c>
      <c r="AB73" s="104" t="s">
        <v>109</v>
      </c>
      <c r="AC73" s="57">
        <v>4</v>
      </c>
      <c r="AD73" s="104" t="str">
        <f t="shared" si="21"/>
        <v>High</v>
      </c>
      <c r="AE73" s="101">
        <f t="shared" si="20"/>
        <v>12</v>
      </c>
      <c r="AF73" s="103" t="str">
        <f t="shared" si="16"/>
        <v>Medium</v>
      </c>
      <c r="AG73" s="57" t="s">
        <v>315</v>
      </c>
      <c r="AH73" s="57">
        <v>2</v>
      </c>
      <c r="AI73" s="57"/>
      <c r="AJ73" s="57"/>
      <c r="AK73" s="57"/>
      <c r="AL73" s="104" t="str">
        <f t="shared" si="22"/>
        <v>Low</v>
      </c>
      <c r="AM73" s="57">
        <v>2</v>
      </c>
      <c r="AN73" s="104" t="str">
        <f t="shared" si="23"/>
        <v>Low</v>
      </c>
      <c r="AO73" s="104">
        <f t="shared" si="15"/>
        <v>4</v>
      </c>
      <c r="AP73" s="104" t="str">
        <f t="shared" si="24"/>
        <v>Very Low</v>
      </c>
      <c r="AQ73" s="57" t="s">
        <v>89</v>
      </c>
      <c r="AR73" s="66" t="s">
        <v>706</v>
      </c>
      <c r="AS73" s="57" t="s">
        <v>707</v>
      </c>
      <c r="AT73" s="55">
        <v>46022</v>
      </c>
      <c r="AU73" s="53" t="s">
        <v>102</v>
      </c>
      <c r="AV73" s="52">
        <v>45717</v>
      </c>
      <c r="AW73" s="69"/>
    </row>
    <row r="74" spans="1:49" s="3" customFormat="1" ht="409.5" x14ac:dyDescent="0.2">
      <c r="A74" s="49">
        <v>72</v>
      </c>
      <c r="B74" s="65" t="s">
        <v>708</v>
      </c>
      <c r="C74" s="49" t="s">
        <v>699</v>
      </c>
      <c r="D74" s="70" t="s">
        <v>185</v>
      </c>
      <c r="E74" s="70" t="s">
        <v>186</v>
      </c>
      <c r="F74" s="70" t="s">
        <v>580</v>
      </c>
      <c r="G74" s="57" t="s">
        <v>566</v>
      </c>
      <c r="H74" s="71" t="s">
        <v>689</v>
      </c>
      <c r="I74" s="70" t="s">
        <v>709</v>
      </c>
      <c r="J74" s="70" t="s">
        <v>710</v>
      </c>
      <c r="K74" s="57" t="s">
        <v>711</v>
      </c>
      <c r="L74" s="66" t="s">
        <v>712</v>
      </c>
      <c r="M74" s="57" t="s">
        <v>713</v>
      </c>
      <c r="N74" s="57" t="s">
        <v>703</v>
      </c>
      <c r="O74" s="57" t="s">
        <v>194</v>
      </c>
      <c r="P74" s="57" t="s">
        <v>714</v>
      </c>
      <c r="Q74" s="57" t="s">
        <v>715</v>
      </c>
      <c r="R74" s="57">
        <v>1</v>
      </c>
      <c r="S74" s="57">
        <v>2</v>
      </c>
      <c r="T74" s="57"/>
      <c r="U74" s="57">
        <v>1</v>
      </c>
      <c r="V74" s="57">
        <v>4</v>
      </c>
      <c r="W74" s="57">
        <v>2</v>
      </c>
      <c r="X74" s="57">
        <v>2</v>
      </c>
      <c r="Y74" s="57"/>
      <c r="Z74" s="57">
        <v>2</v>
      </c>
      <c r="AA74" s="115">
        <f t="shared" si="19"/>
        <v>4</v>
      </c>
      <c r="AB74" s="104" t="s">
        <v>87</v>
      </c>
      <c r="AC74" s="57">
        <v>4</v>
      </c>
      <c r="AD74" s="104" t="str">
        <f t="shared" si="21"/>
        <v>High</v>
      </c>
      <c r="AE74" s="101">
        <f t="shared" si="20"/>
        <v>16</v>
      </c>
      <c r="AF74" s="103" t="str">
        <f t="shared" si="16"/>
        <v>High</v>
      </c>
      <c r="AG74" s="57" t="s">
        <v>315</v>
      </c>
      <c r="AH74" s="57">
        <v>2</v>
      </c>
      <c r="AI74" s="57"/>
      <c r="AJ74" s="57"/>
      <c r="AK74" s="57"/>
      <c r="AL74" s="104" t="str">
        <f t="shared" si="22"/>
        <v>Low</v>
      </c>
      <c r="AM74" s="57">
        <v>2</v>
      </c>
      <c r="AN74" s="104" t="str">
        <f t="shared" si="23"/>
        <v>Low</v>
      </c>
      <c r="AO74" s="104">
        <f t="shared" si="15"/>
        <v>4</v>
      </c>
      <c r="AP74" s="104" t="str">
        <f t="shared" si="24"/>
        <v>Very Low</v>
      </c>
      <c r="AQ74" s="57" t="s">
        <v>89</v>
      </c>
      <c r="AR74" s="66" t="s">
        <v>716</v>
      </c>
      <c r="AS74" s="57" t="s">
        <v>717</v>
      </c>
      <c r="AT74" s="147">
        <v>45657</v>
      </c>
      <c r="AU74" s="53" t="s">
        <v>140</v>
      </c>
      <c r="AV74" s="52">
        <v>45718</v>
      </c>
      <c r="AW74" s="144" t="s">
        <v>718</v>
      </c>
    </row>
    <row r="75" spans="1:49" s="3" customFormat="1" ht="409.5" x14ac:dyDescent="0.2">
      <c r="A75" s="49">
        <v>73</v>
      </c>
      <c r="B75" s="65" t="s">
        <v>719</v>
      </c>
      <c r="C75" s="49" t="s">
        <v>699</v>
      </c>
      <c r="D75" s="70" t="s">
        <v>185</v>
      </c>
      <c r="E75" s="70" t="s">
        <v>186</v>
      </c>
      <c r="F75" s="70" t="s">
        <v>580</v>
      </c>
      <c r="G75" s="57" t="s">
        <v>566</v>
      </c>
      <c r="H75" s="71" t="s">
        <v>689</v>
      </c>
      <c r="I75" s="70" t="s">
        <v>720</v>
      </c>
      <c r="J75" s="70" t="s">
        <v>710</v>
      </c>
      <c r="K75" s="57" t="s">
        <v>721</v>
      </c>
      <c r="L75" s="66" t="s">
        <v>722</v>
      </c>
      <c r="M75" s="57" t="s">
        <v>713</v>
      </c>
      <c r="N75" s="57" t="s">
        <v>703</v>
      </c>
      <c r="O75" s="57" t="s">
        <v>194</v>
      </c>
      <c r="P75" s="57" t="s">
        <v>723</v>
      </c>
      <c r="Q75" s="57" t="s">
        <v>724</v>
      </c>
      <c r="R75" s="57">
        <v>1</v>
      </c>
      <c r="S75" s="57">
        <v>2</v>
      </c>
      <c r="T75" s="57"/>
      <c r="U75" s="57">
        <v>1</v>
      </c>
      <c r="V75" s="57">
        <v>4</v>
      </c>
      <c r="W75" s="57">
        <v>2</v>
      </c>
      <c r="X75" s="57">
        <v>2</v>
      </c>
      <c r="Y75" s="57"/>
      <c r="Z75" s="57">
        <v>2</v>
      </c>
      <c r="AA75" s="115">
        <f t="shared" si="19"/>
        <v>4</v>
      </c>
      <c r="AB75" s="104" t="s">
        <v>87</v>
      </c>
      <c r="AC75" s="57">
        <v>4</v>
      </c>
      <c r="AD75" s="104" t="str">
        <f t="shared" si="21"/>
        <v>High</v>
      </c>
      <c r="AE75" s="101">
        <f t="shared" si="20"/>
        <v>16</v>
      </c>
      <c r="AF75" s="103" t="str">
        <f t="shared" si="16"/>
        <v>High</v>
      </c>
      <c r="AG75" s="57" t="s">
        <v>315</v>
      </c>
      <c r="AH75" s="57">
        <v>2</v>
      </c>
      <c r="AI75" s="57"/>
      <c r="AJ75" s="59"/>
      <c r="AK75" s="59"/>
      <c r="AL75" s="104" t="str">
        <f t="shared" si="22"/>
        <v>Low</v>
      </c>
      <c r="AM75" s="57">
        <v>2</v>
      </c>
      <c r="AN75" s="104" t="str">
        <f t="shared" si="23"/>
        <v>Low</v>
      </c>
      <c r="AO75" s="104">
        <f t="shared" si="15"/>
        <v>4</v>
      </c>
      <c r="AP75" s="104" t="str">
        <f t="shared" si="24"/>
        <v>Very Low</v>
      </c>
      <c r="AQ75" s="57" t="s">
        <v>89</v>
      </c>
      <c r="AR75" s="66" t="s">
        <v>716</v>
      </c>
      <c r="AS75" s="57" t="s">
        <v>717</v>
      </c>
      <c r="AT75" s="147">
        <v>45657</v>
      </c>
      <c r="AU75" s="53" t="s">
        <v>140</v>
      </c>
      <c r="AV75" s="52">
        <v>45718</v>
      </c>
      <c r="AW75" s="145" t="s">
        <v>718</v>
      </c>
    </row>
    <row r="76" spans="1:49" s="3" customFormat="1" ht="90" x14ac:dyDescent="0.2">
      <c r="A76" s="49">
        <v>74</v>
      </c>
      <c r="B76" s="65" t="s">
        <v>725</v>
      </c>
      <c r="C76" s="49" t="s">
        <v>164</v>
      </c>
      <c r="D76" s="70" t="s">
        <v>185</v>
      </c>
      <c r="E76" s="70" t="s">
        <v>726</v>
      </c>
      <c r="F76" s="70" t="s">
        <v>580</v>
      </c>
      <c r="G76" s="57" t="s">
        <v>566</v>
      </c>
      <c r="H76" s="71" t="s">
        <v>727</v>
      </c>
      <c r="I76" s="70" t="s">
        <v>728</v>
      </c>
      <c r="J76" s="70" t="s">
        <v>729</v>
      </c>
      <c r="K76" s="57" t="s">
        <v>730</v>
      </c>
      <c r="L76" s="66" t="s">
        <v>731</v>
      </c>
      <c r="M76" s="57" t="s">
        <v>732</v>
      </c>
      <c r="N76" s="57" t="s">
        <v>164</v>
      </c>
      <c r="O76" s="57" t="s">
        <v>180</v>
      </c>
      <c r="P76" s="57" t="s">
        <v>86</v>
      </c>
      <c r="Q76" s="57" t="s">
        <v>733</v>
      </c>
      <c r="R76" s="57">
        <v>1</v>
      </c>
      <c r="S76" s="57">
        <v>1</v>
      </c>
      <c r="T76" s="57">
        <v>1</v>
      </c>
      <c r="U76" s="57">
        <v>1</v>
      </c>
      <c r="V76" s="57">
        <v>3</v>
      </c>
      <c r="W76" s="57">
        <v>1</v>
      </c>
      <c r="X76" s="57">
        <v>2</v>
      </c>
      <c r="Y76" s="57">
        <v>1</v>
      </c>
      <c r="Z76" s="57">
        <v>1</v>
      </c>
      <c r="AA76" s="115">
        <f t="shared" si="19"/>
        <v>3</v>
      </c>
      <c r="AB76" s="104" t="s">
        <v>109</v>
      </c>
      <c r="AC76" s="57">
        <v>3</v>
      </c>
      <c r="AD76" s="104" t="str">
        <f t="shared" si="21"/>
        <v>Medium</v>
      </c>
      <c r="AE76" s="101">
        <f t="shared" si="20"/>
        <v>9</v>
      </c>
      <c r="AF76" s="103" t="str">
        <f t="shared" si="16"/>
        <v>Low</v>
      </c>
      <c r="AG76" s="57" t="s">
        <v>150</v>
      </c>
      <c r="AH76" s="57">
        <v>1</v>
      </c>
      <c r="AI76" s="57"/>
      <c r="AJ76" s="72"/>
      <c r="AK76" s="72"/>
      <c r="AL76" s="104" t="str">
        <f t="shared" si="17"/>
        <v>Very Low</v>
      </c>
      <c r="AM76" s="57">
        <v>1</v>
      </c>
      <c r="AN76" s="104" t="str">
        <f t="shared" si="18"/>
        <v>Very Low</v>
      </c>
      <c r="AO76" s="104">
        <f t="shared" si="15"/>
        <v>1</v>
      </c>
      <c r="AP76" s="104" t="str">
        <f t="shared" si="24"/>
        <v>Very Low</v>
      </c>
      <c r="AQ76" s="57" t="s">
        <v>89</v>
      </c>
      <c r="AR76" s="66" t="s">
        <v>734</v>
      </c>
      <c r="AS76" s="57" t="s">
        <v>735</v>
      </c>
      <c r="AT76" s="55">
        <v>45657</v>
      </c>
      <c r="AU76" s="53" t="s">
        <v>140</v>
      </c>
      <c r="AV76" s="52">
        <v>45725</v>
      </c>
      <c r="AW76" s="57"/>
    </row>
    <row r="77" spans="1:49" s="3" customFormat="1" ht="45" x14ac:dyDescent="0.2">
      <c r="A77" s="49">
        <v>75</v>
      </c>
      <c r="B77" s="65" t="s">
        <v>736</v>
      </c>
      <c r="C77" s="49" t="s">
        <v>18</v>
      </c>
      <c r="D77" s="49" t="s">
        <v>348</v>
      </c>
      <c r="E77" s="49" t="s">
        <v>335</v>
      </c>
      <c r="F77" s="57" t="s">
        <v>737</v>
      </c>
      <c r="G77" s="57" t="s">
        <v>566</v>
      </c>
      <c r="H77" s="49" t="s">
        <v>738</v>
      </c>
      <c r="I77" s="73" t="s">
        <v>739</v>
      </c>
      <c r="J77" s="49" t="s">
        <v>740</v>
      </c>
      <c r="K77" s="49" t="s">
        <v>740</v>
      </c>
      <c r="L77" s="49" t="s">
        <v>741</v>
      </c>
      <c r="M77" s="49" t="s">
        <v>742</v>
      </c>
      <c r="N77" s="57" t="s">
        <v>743</v>
      </c>
      <c r="O77" s="49" t="s">
        <v>85</v>
      </c>
      <c r="P77" s="57" t="s">
        <v>86</v>
      </c>
      <c r="Q77" s="49"/>
      <c r="R77" s="49">
        <v>3</v>
      </c>
      <c r="S77" s="49">
        <v>3</v>
      </c>
      <c r="T77" s="49"/>
      <c r="U77" s="49"/>
      <c r="V77" s="49">
        <v>1</v>
      </c>
      <c r="W77" s="49">
        <v>3</v>
      </c>
      <c r="X77" s="49">
        <v>3</v>
      </c>
      <c r="Y77" s="49">
        <v>3</v>
      </c>
      <c r="Z77" s="49">
        <v>3</v>
      </c>
      <c r="AA77" s="114">
        <f t="shared" si="19"/>
        <v>3</v>
      </c>
      <c r="AB77" s="101" t="s">
        <v>100</v>
      </c>
      <c r="AC77" s="57">
        <v>2</v>
      </c>
      <c r="AD77" s="101" t="str">
        <f t="shared" si="21"/>
        <v>Low</v>
      </c>
      <c r="AE77" s="101">
        <f t="shared" si="20"/>
        <v>6</v>
      </c>
      <c r="AF77" s="102" t="str">
        <f t="shared" si="16"/>
        <v>Very Low</v>
      </c>
      <c r="AG77" s="50" t="s">
        <v>150</v>
      </c>
      <c r="AH77" s="51">
        <v>3</v>
      </c>
      <c r="AI77" s="137"/>
      <c r="AJ77" s="49"/>
      <c r="AK77" s="49"/>
      <c r="AL77" s="101" t="str">
        <f t="shared" si="17"/>
        <v>Medium</v>
      </c>
      <c r="AM77" s="49">
        <v>3</v>
      </c>
      <c r="AN77" s="101" t="str">
        <f t="shared" si="18"/>
        <v>Medium</v>
      </c>
      <c r="AO77" s="104">
        <f t="shared" si="15"/>
        <v>9</v>
      </c>
      <c r="AP77" s="101" t="str">
        <f t="shared" si="24"/>
        <v>Low</v>
      </c>
      <c r="AQ77" s="49" t="s">
        <v>89</v>
      </c>
      <c r="AR77" s="49" t="s">
        <v>744</v>
      </c>
      <c r="AS77" s="49" t="s">
        <v>745</v>
      </c>
      <c r="AT77" s="55" t="s">
        <v>746</v>
      </c>
      <c r="AU77" s="53" t="s">
        <v>102</v>
      </c>
      <c r="AV77" s="52">
        <v>45720</v>
      </c>
      <c r="AW77" s="54" t="s">
        <v>747</v>
      </c>
    </row>
    <row r="78" spans="1:49" s="3" customFormat="1" ht="75" x14ac:dyDescent="0.2">
      <c r="A78" s="49">
        <v>76</v>
      </c>
      <c r="B78" s="65" t="s">
        <v>748</v>
      </c>
      <c r="C78" s="49" t="s">
        <v>699</v>
      </c>
      <c r="D78" s="49" t="s">
        <v>226</v>
      </c>
      <c r="E78" s="49" t="s">
        <v>227</v>
      </c>
      <c r="F78" s="49" t="s">
        <v>565</v>
      </c>
      <c r="G78" s="57" t="s">
        <v>566</v>
      </c>
      <c r="H78" s="49" t="s">
        <v>749</v>
      </c>
      <c r="I78" s="49" t="s">
        <v>750</v>
      </c>
      <c r="J78" s="49" t="s">
        <v>569</v>
      </c>
      <c r="K78" s="49" t="s">
        <v>570</v>
      </c>
      <c r="L78" s="49" t="s">
        <v>749</v>
      </c>
      <c r="M78" s="49" t="s">
        <v>751</v>
      </c>
      <c r="N78" s="49" t="s">
        <v>752</v>
      </c>
      <c r="O78" s="49" t="s">
        <v>85</v>
      </c>
      <c r="P78" s="57" t="s">
        <v>86</v>
      </c>
      <c r="Q78" s="49" t="s">
        <v>753</v>
      </c>
      <c r="R78" s="49">
        <v>5</v>
      </c>
      <c r="S78" s="49">
        <v>5</v>
      </c>
      <c r="T78" s="49"/>
      <c r="U78" s="49"/>
      <c r="V78" s="49"/>
      <c r="W78" s="49"/>
      <c r="X78" s="49">
        <v>5</v>
      </c>
      <c r="Y78" s="49"/>
      <c r="Z78" s="49"/>
      <c r="AA78" s="114">
        <f t="shared" si="19"/>
        <v>5</v>
      </c>
      <c r="AB78" s="101" t="s">
        <v>100</v>
      </c>
      <c r="AC78" s="57">
        <v>1</v>
      </c>
      <c r="AD78" s="101" t="str">
        <f t="shared" si="21"/>
        <v>Very Low</v>
      </c>
      <c r="AE78" s="101">
        <f t="shared" si="20"/>
        <v>5</v>
      </c>
      <c r="AF78" s="102" t="str">
        <f t="shared" si="16"/>
        <v>Very Low</v>
      </c>
      <c r="AG78" s="50" t="s">
        <v>88</v>
      </c>
      <c r="AH78" s="51">
        <v>5</v>
      </c>
      <c r="AI78" s="137"/>
      <c r="AJ78" s="49"/>
      <c r="AK78" s="49"/>
      <c r="AL78" s="101" t="str">
        <f t="shared" si="17"/>
        <v>Very High</v>
      </c>
      <c r="AM78" s="49">
        <v>1</v>
      </c>
      <c r="AN78" s="101" t="str">
        <f t="shared" si="18"/>
        <v>Very Low</v>
      </c>
      <c r="AO78" s="104">
        <f t="shared" si="15"/>
        <v>5</v>
      </c>
      <c r="AP78" s="101" t="str">
        <f t="shared" si="24"/>
        <v>Very Low</v>
      </c>
      <c r="AQ78" s="49" t="s">
        <v>89</v>
      </c>
      <c r="AR78" s="49" t="s">
        <v>754</v>
      </c>
      <c r="AS78" s="49" t="s">
        <v>576</v>
      </c>
      <c r="AT78" s="55">
        <v>46028</v>
      </c>
      <c r="AU78" s="53" t="s">
        <v>102</v>
      </c>
      <c r="AV78" s="52">
        <v>45719</v>
      </c>
      <c r="AW78" s="54" t="s">
        <v>755</v>
      </c>
    </row>
    <row r="79" spans="1:49" s="32" customFormat="1" ht="75" x14ac:dyDescent="0.2">
      <c r="A79" s="49">
        <v>77</v>
      </c>
      <c r="B79" s="57" t="s">
        <v>756</v>
      </c>
      <c r="C79" s="49" t="s">
        <v>699</v>
      </c>
      <c r="D79" s="49" t="s">
        <v>226</v>
      </c>
      <c r="E79" s="49" t="s">
        <v>227</v>
      </c>
      <c r="F79" s="57" t="s">
        <v>565</v>
      </c>
      <c r="G79" s="57" t="s">
        <v>566</v>
      </c>
      <c r="H79" s="58" t="s">
        <v>757</v>
      </c>
      <c r="I79" s="74" t="s">
        <v>758</v>
      </c>
      <c r="J79" s="57" t="s">
        <v>569</v>
      </c>
      <c r="K79" s="58" t="s">
        <v>570</v>
      </c>
      <c r="L79" s="58" t="s">
        <v>757</v>
      </c>
      <c r="M79" s="74" t="s">
        <v>759</v>
      </c>
      <c r="N79" s="74" t="s">
        <v>752</v>
      </c>
      <c r="O79" s="74" t="s">
        <v>85</v>
      </c>
      <c r="P79" s="57" t="s">
        <v>86</v>
      </c>
      <c r="Q79" s="75"/>
      <c r="R79" s="49">
        <v>4</v>
      </c>
      <c r="S79" s="49">
        <v>4</v>
      </c>
      <c r="T79" s="49"/>
      <c r="U79" s="49"/>
      <c r="V79" s="49"/>
      <c r="W79" s="49"/>
      <c r="X79" s="49"/>
      <c r="Y79" s="49"/>
      <c r="Z79" s="49">
        <v>4</v>
      </c>
      <c r="AA79" s="115">
        <f t="shared" si="19"/>
        <v>4</v>
      </c>
      <c r="AB79" s="101" t="s">
        <v>87</v>
      </c>
      <c r="AC79" s="49">
        <v>2</v>
      </c>
      <c r="AD79" s="101" t="str">
        <f t="shared" si="21"/>
        <v>Low</v>
      </c>
      <c r="AE79" s="101">
        <f t="shared" si="20"/>
        <v>8</v>
      </c>
      <c r="AF79" s="102" t="str">
        <f t="shared" si="16"/>
        <v>Low</v>
      </c>
      <c r="AG79" s="50" t="s">
        <v>88</v>
      </c>
      <c r="AH79" s="51">
        <v>2</v>
      </c>
      <c r="AI79" s="137"/>
      <c r="AJ79" s="76"/>
      <c r="AK79" s="76"/>
      <c r="AL79" s="101" t="str">
        <f t="shared" si="17"/>
        <v>Low</v>
      </c>
      <c r="AM79" s="77">
        <v>2</v>
      </c>
      <c r="AN79" s="101" t="str">
        <f t="shared" si="18"/>
        <v>Low</v>
      </c>
      <c r="AO79" s="104">
        <f t="shared" si="15"/>
        <v>4</v>
      </c>
      <c r="AP79" s="101" t="str">
        <f t="shared" si="24"/>
        <v>Very Low</v>
      </c>
      <c r="AQ79" s="78" t="s">
        <v>89</v>
      </c>
      <c r="AR79" s="58" t="s">
        <v>760</v>
      </c>
      <c r="AS79" s="57" t="s">
        <v>576</v>
      </c>
      <c r="AT79" s="55">
        <v>45665</v>
      </c>
      <c r="AU79" s="53" t="s">
        <v>102</v>
      </c>
      <c r="AV79" s="52">
        <v>45719</v>
      </c>
      <c r="AW79" s="79" t="s">
        <v>761</v>
      </c>
    </row>
    <row r="80" spans="1:49" s="32" customFormat="1" ht="120" x14ac:dyDescent="0.2">
      <c r="A80" s="49">
        <v>78</v>
      </c>
      <c r="B80" s="57" t="s">
        <v>762</v>
      </c>
      <c r="C80" s="49" t="s">
        <v>699</v>
      </c>
      <c r="D80" s="49" t="s">
        <v>226</v>
      </c>
      <c r="E80" s="49" t="s">
        <v>227</v>
      </c>
      <c r="F80" s="57" t="s">
        <v>737</v>
      </c>
      <c r="G80" s="57" t="s">
        <v>566</v>
      </c>
      <c r="H80" s="58" t="s">
        <v>763</v>
      </c>
      <c r="I80" s="74" t="s">
        <v>764</v>
      </c>
      <c r="J80" s="57" t="s">
        <v>765</v>
      </c>
      <c r="K80" s="58" t="s">
        <v>766</v>
      </c>
      <c r="L80" s="58" t="s">
        <v>767</v>
      </c>
      <c r="M80" s="74" t="s">
        <v>768</v>
      </c>
      <c r="N80" s="74" t="s">
        <v>752</v>
      </c>
      <c r="O80" s="74" t="s">
        <v>85</v>
      </c>
      <c r="P80" s="57" t="s">
        <v>86</v>
      </c>
      <c r="Q80" s="76"/>
      <c r="R80" s="49">
        <v>3</v>
      </c>
      <c r="S80" s="49">
        <v>3</v>
      </c>
      <c r="T80" s="49">
        <v>1</v>
      </c>
      <c r="U80" s="49">
        <v>2</v>
      </c>
      <c r="V80" s="49">
        <v>4</v>
      </c>
      <c r="W80" s="49">
        <v>1</v>
      </c>
      <c r="X80" s="49">
        <v>3</v>
      </c>
      <c r="Y80" s="49"/>
      <c r="Z80" s="49">
        <v>3</v>
      </c>
      <c r="AA80" s="115">
        <f t="shared" si="19"/>
        <v>4</v>
      </c>
      <c r="AB80" s="101" t="s">
        <v>100</v>
      </c>
      <c r="AC80" s="49">
        <v>5</v>
      </c>
      <c r="AD80" s="101" t="str">
        <f t="shared" si="21"/>
        <v>Very High</v>
      </c>
      <c r="AE80" s="101">
        <f t="shared" si="20"/>
        <v>20</v>
      </c>
      <c r="AF80" s="102" t="str">
        <f t="shared" si="16"/>
        <v>Very High</v>
      </c>
      <c r="AG80" s="50" t="s">
        <v>88</v>
      </c>
      <c r="AH80" s="51">
        <v>4</v>
      </c>
      <c r="AI80" s="137"/>
      <c r="AJ80" s="76"/>
      <c r="AK80" s="76"/>
      <c r="AL80" s="101" t="str">
        <f t="shared" si="17"/>
        <v>High</v>
      </c>
      <c r="AM80" s="77">
        <v>3</v>
      </c>
      <c r="AN80" s="101" t="str">
        <f t="shared" si="18"/>
        <v>Medium</v>
      </c>
      <c r="AO80" s="104">
        <f t="shared" si="15"/>
        <v>12</v>
      </c>
      <c r="AP80" s="101" t="str">
        <f t="shared" si="24"/>
        <v>Medium</v>
      </c>
      <c r="AQ80" s="78" t="s">
        <v>89</v>
      </c>
      <c r="AR80" s="58" t="s">
        <v>769</v>
      </c>
      <c r="AS80" s="57" t="s">
        <v>770</v>
      </c>
      <c r="AT80" s="55" t="s">
        <v>746</v>
      </c>
      <c r="AU80" s="53" t="s">
        <v>102</v>
      </c>
      <c r="AV80" s="52">
        <v>45720</v>
      </c>
      <c r="AW80" s="54" t="s">
        <v>771</v>
      </c>
    </row>
    <row r="81" spans="1:49" s="32" customFormat="1" ht="75" x14ac:dyDescent="0.2">
      <c r="A81" s="49">
        <v>79</v>
      </c>
      <c r="B81" s="65" t="s">
        <v>772</v>
      </c>
      <c r="C81" s="49" t="s">
        <v>164</v>
      </c>
      <c r="D81" s="49" t="s">
        <v>185</v>
      </c>
      <c r="E81" s="49" t="s">
        <v>773</v>
      </c>
      <c r="F81" s="57" t="s">
        <v>580</v>
      </c>
      <c r="G81" s="57" t="s">
        <v>566</v>
      </c>
      <c r="H81" s="58" t="s">
        <v>774</v>
      </c>
      <c r="I81" s="58" t="s">
        <v>775</v>
      </c>
      <c r="J81" s="58" t="s">
        <v>590</v>
      </c>
      <c r="K81" s="58" t="s">
        <v>580</v>
      </c>
      <c r="L81" s="58" t="s">
        <v>776</v>
      </c>
      <c r="M81" s="74" t="s">
        <v>777</v>
      </c>
      <c r="N81" s="74" t="s">
        <v>164</v>
      </c>
      <c r="O81" s="74" t="s">
        <v>180</v>
      </c>
      <c r="P81" s="57" t="s">
        <v>86</v>
      </c>
      <c r="Q81" s="76" t="s">
        <v>778</v>
      </c>
      <c r="R81" s="49">
        <v>3</v>
      </c>
      <c r="S81" s="49">
        <v>2</v>
      </c>
      <c r="T81" s="49">
        <v>2</v>
      </c>
      <c r="U81" s="49">
        <v>2</v>
      </c>
      <c r="V81" s="49">
        <v>3</v>
      </c>
      <c r="W81" s="49">
        <v>2</v>
      </c>
      <c r="X81" s="49">
        <v>4</v>
      </c>
      <c r="Y81" s="49">
        <v>2</v>
      </c>
      <c r="Z81" s="49">
        <v>2</v>
      </c>
      <c r="AA81" s="115">
        <f>MAX(R81:Z81)</f>
        <v>4</v>
      </c>
      <c r="AB81" s="101" t="s">
        <v>87</v>
      </c>
      <c r="AC81" s="49">
        <v>4</v>
      </c>
      <c r="AD81" s="101" t="str">
        <f>IF(AC81=1,"Very Low",IF(AC81=2,"Low",IF(AC81=3,"Medium",IF(AC81=4,"High",IF(AC81=5,"Very High",)))))</f>
        <v>High</v>
      </c>
      <c r="AE81" s="101">
        <f t="shared" si="20"/>
        <v>16</v>
      </c>
      <c r="AF81" s="102" t="str">
        <f>IF(AE81=1,"Very Low",IF(AE81=2,"Very Low",IF(AE81=3,"Very Low",IF(AE81=4,"Very Low",IF(AE81=5,"Very Low",IF(AE81=6,"Very Low",IF(AE81=8,"Low",IF(AE81=9,"Low",IF(AE81=10,"Medium",IF(AE81=12,"Medium",IF(AE81=15,"High",IF(AE81=16,"High",IF(AE81=20,"Very High",IF(AE81=25,"Very High",))))))))))))))</f>
        <v>High</v>
      </c>
      <c r="AG81" s="50" t="s">
        <v>88</v>
      </c>
      <c r="AH81" s="51">
        <v>3</v>
      </c>
      <c r="AI81" s="137"/>
      <c r="AJ81" s="76"/>
      <c r="AK81" s="76"/>
      <c r="AL81" s="101" t="str">
        <f>IF(AH81=1,"Very Low",IF(AH81=2,"Low",IF(AH81=3,"Medium",IF(AH81=4,"High",IF(AH81=5,"Very High",)))))</f>
        <v>Medium</v>
      </c>
      <c r="AM81" s="77">
        <v>3</v>
      </c>
      <c r="AN81" s="101" t="str">
        <f>IF(AM81=1,"Very Low",IF(AM81=2,"Low",IF(AM81=3,"Medium",IF(AM81=4,"High",IF(AM81=5,"Very High",)))))</f>
        <v>Medium</v>
      </c>
      <c r="AO81" s="104">
        <f>AH81*AM81</f>
        <v>9</v>
      </c>
      <c r="AP81" s="101" t="str">
        <f>IF(AO81=1,"Very Low",IF(AO81=2,"Very Low",IF(AO81=3,"Very Low",IF(AO81=4,"Very Low",IF(AO81=5,"Very Low",IF(AO81=6,"Very Low",IF(AO81=8,"Low",IF(AO81=9,"Low",IF(AO81=10,"Medium",IF(AO81=12,"Medium",IF(AO81=15,"High",IF(AO81=16,"High",IF(AO81=20,"Very High",IF(AO81=25,"Very High",))))))))))))))</f>
        <v>Low</v>
      </c>
      <c r="AQ81" s="78" t="s">
        <v>89</v>
      </c>
      <c r="AR81" s="58" t="s">
        <v>779</v>
      </c>
      <c r="AS81" s="78" t="s">
        <v>580</v>
      </c>
      <c r="AT81" s="147">
        <v>45848</v>
      </c>
      <c r="AU81" s="53" t="s">
        <v>102</v>
      </c>
      <c r="AV81" s="52">
        <v>45725</v>
      </c>
      <c r="AW81" s="79" t="s">
        <v>780</v>
      </c>
    </row>
    <row r="82" spans="1:49" s="32" customFormat="1" ht="60" x14ac:dyDescent="0.2">
      <c r="A82" s="49">
        <v>80</v>
      </c>
      <c r="B82" s="65" t="s">
        <v>781</v>
      </c>
      <c r="C82" s="49" t="s">
        <v>164</v>
      </c>
      <c r="D82" s="49" t="s">
        <v>185</v>
      </c>
      <c r="E82" s="49" t="s">
        <v>579</v>
      </c>
      <c r="F82" s="49" t="s">
        <v>580</v>
      </c>
      <c r="G82" s="57" t="s">
        <v>566</v>
      </c>
      <c r="H82" s="49" t="s">
        <v>782</v>
      </c>
      <c r="I82" s="49" t="s">
        <v>783</v>
      </c>
      <c r="J82" s="49" t="s">
        <v>583</v>
      </c>
      <c r="K82" s="49" t="s">
        <v>580</v>
      </c>
      <c r="L82" s="49" t="s">
        <v>784</v>
      </c>
      <c r="M82" s="49" t="s">
        <v>785</v>
      </c>
      <c r="N82" s="49" t="s">
        <v>164</v>
      </c>
      <c r="O82" s="49" t="s">
        <v>85</v>
      </c>
      <c r="P82" s="57" t="s">
        <v>86</v>
      </c>
      <c r="Q82" s="49" t="s">
        <v>778</v>
      </c>
      <c r="R82" s="49">
        <v>4</v>
      </c>
      <c r="S82" s="49">
        <v>2</v>
      </c>
      <c r="T82" s="49">
        <v>2</v>
      </c>
      <c r="U82" s="49">
        <v>2</v>
      </c>
      <c r="V82" s="49">
        <v>3</v>
      </c>
      <c r="W82" s="49">
        <v>2</v>
      </c>
      <c r="X82" s="49">
        <v>4</v>
      </c>
      <c r="Y82" s="49">
        <v>2</v>
      </c>
      <c r="Z82" s="49">
        <v>2</v>
      </c>
      <c r="AA82" s="114">
        <f>MAX(R82:Z82)</f>
        <v>4</v>
      </c>
      <c r="AB82" s="101" t="s">
        <v>87</v>
      </c>
      <c r="AC82" s="57">
        <v>4</v>
      </c>
      <c r="AD82" s="101" t="str">
        <f>IF(AC82=1,"Very Low",IF(AC82=2,"Low",IF(AC82=3,"Medium",IF(AC82=4,"High",IF(AC82=5,"Very High",)))))</f>
        <v>High</v>
      </c>
      <c r="AE82" s="101">
        <f t="shared" si="20"/>
        <v>16</v>
      </c>
      <c r="AF82" s="102" t="str">
        <f>IF(AE82=1,"Very Low",IF(AE82=2,"Very Low",IF(AE82=3,"Very Low",IF(AE82=4,"Very Low",IF(AE82=5,"Very Low",IF(AE82=6,"Very Low",IF(AE82=8,"Low",IF(AE82=9,"Low",IF(AE82=10,"Medium",IF(AE82=12,"Medium",IF(AE82=15,"High",IF(AE82=16,"High",IF(AE82=20,"Very High",IF(AE82=25,"Very High",))))))))))))))</f>
        <v>High</v>
      </c>
      <c r="AG82" s="50" t="s">
        <v>88</v>
      </c>
      <c r="AH82" s="51">
        <v>3</v>
      </c>
      <c r="AI82" s="137"/>
      <c r="AJ82" s="76"/>
      <c r="AK82" s="76"/>
      <c r="AL82" s="101" t="str">
        <f>IF(AH82=1,"Very Low",IF(AH82=2,"Low",IF(AH82=3,"Medium",IF(AH82=4,"High",IF(AH82=5,"Very High",)))))</f>
        <v>Medium</v>
      </c>
      <c r="AM82" s="49">
        <v>3</v>
      </c>
      <c r="AN82" s="101" t="str">
        <f>IF(AM82=1,"Very Low",IF(AM82=2,"Low",IF(AM82=3,"Medium",IF(AM82=4,"High",IF(AM82=5,"Very High",)))))</f>
        <v>Medium</v>
      </c>
      <c r="AO82" s="101">
        <f>AH82*AM82</f>
        <v>9</v>
      </c>
      <c r="AP82" s="101" t="str">
        <f>IF(AO82=1,"Very Low",IF(AO82=2,"Very Low",IF(AO82=3,"Very Low",IF(AO82=4,"Very Low",IF(AO82=5,"Very Low",IF(AO82=6,"Very Low",IF(AO82=8,"Low",IF(AO82=9,"Low",IF(AO82=10,"Medium",IF(AO82=12,"Medium",IF(AO82=15,"High",IF(AO82=16,"High",IF(AO82=20,"Very High",IF(AO82=25,"Very High",))))))))))))))</f>
        <v>Low</v>
      </c>
      <c r="AQ82" s="57" t="s">
        <v>89</v>
      </c>
      <c r="AR82" s="49" t="s">
        <v>786</v>
      </c>
      <c r="AS82" s="49" t="s">
        <v>580</v>
      </c>
      <c r="AT82" s="147">
        <v>45848</v>
      </c>
      <c r="AU82" s="53" t="s">
        <v>102</v>
      </c>
      <c r="AV82" s="52">
        <v>45725</v>
      </c>
      <c r="AW82" s="54"/>
    </row>
    <row r="83" spans="1:49" s="32" customFormat="1" ht="60" x14ac:dyDescent="0.2">
      <c r="A83" s="49">
        <v>81</v>
      </c>
      <c r="B83" s="65" t="s">
        <v>787</v>
      </c>
      <c r="C83" s="49" t="s">
        <v>164</v>
      </c>
      <c r="D83" s="49" t="s">
        <v>185</v>
      </c>
      <c r="E83" s="49" t="s">
        <v>579</v>
      </c>
      <c r="F83" s="49" t="s">
        <v>580</v>
      </c>
      <c r="G83" s="57" t="s">
        <v>566</v>
      </c>
      <c r="H83" s="49" t="s">
        <v>788</v>
      </c>
      <c r="I83" s="49" t="s">
        <v>788</v>
      </c>
      <c r="J83" s="49" t="s">
        <v>789</v>
      </c>
      <c r="K83" s="49" t="s">
        <v>789</v>
      </c>
      <c r="L83" s="49" t="s">
        <v>790</v>
      </c>
      <c r="M83" s="49" t="s">
        <v>791</v>
      </c>
      <c r="N83" s="49" t="s">
        <v>164</v>
      </c>
      <c r="O83" s="49" t="s">
        <v>85</v>
      </c>
      <c r="P83" s="57" t="s">
        <v>86</v>
      </c>
      <c r="Q83" s="49" t="s">
        <v>778</v>
      </c>
      <c r="R83" s="49">
        <v>2</v>
      </c>
      <c r="S83" s="49">
        <v>2</v>
      </c>
      <c r="T83" s="49">
        <v>2</v>
      </c>
      <c r="U83" s="49">
        <v>2</v>
      </c>
      <c r="V83" s="49">
        <v>3</v>
      </c>
      <c r="W83" s="49">
        <v>2</v>
      </c>
      <c r="X83" s="49">
        <v>2</v>
      </c>
      <c r="Y83" s="49">
        <v>2</v>
      </c>
      <c r="Z83" s="49">
        <v>2</v>
      </c>
      <c r="AA83" s="114">
        <f>MAX(R83:Z83)</f>
        <v>3</v>
      </c>
      <c r="AB83" s="101" t="s">
        <v>109</v>
      </c>
      <c r="AC83" s="57">
        <v>4</v>
      </c>
      <c r="AD83" s="101" t="str">
        <f>IF(AC83=1,"Very Low",IF(AC83=2,"Low",IF(AC83=3,"Medium",IF(AC83=4,"High",IF(AC83=5,"Very High",)))))</f>
        <v>High</v>
      </c>
      <c r="AE83" s="101">
        <f t="shared" si="20"/>
        <v>12</v>
      </c>
      <c r="AF83" s="102" t="str">
        <f t="shared" ref="AF83:AF114" si="25">IF(AE83=1,"Very Low",IF(AE83=2,"Very Low",IF(AE83=3,"Very Low",IF(AE83=4,"Very Low",IF(AE83=5,"Very Low",IF(AE83=6,"Very Low",IF(AE83=8,"Low",IF(AE83=9,"Low",IF(AE83=10,"Medium",IF(AE83=12,"Medium",IF(AE83=15,"High",IF(AE83=16,"High",IF(AE83=20,"Very High",IF(AE83=25,"Very High",))))))))))))))</f>
        <v>Medium</v>
      </c>
      <c r="AG83" s="50" t="s">
        <v>88</v>
      </c>
      <c r="AH83" s="51">
        <v>2</v>
      </c>
      <c r="AI83" s="137"/>
      <c r="AJ83" s="76"/>
      <c r="AK83" s="76"/>
      <c r="AL83" s="101" t="str">
        <f>IF(AH83=1,"Very Low",IF(AH83=2,"Low",IF(AH83=3,"Medium",IF(AH83=4,"High",IF(AH83=5,"Very High",)))))</f>
        <v>Low</v>
      </c>
      <c r="AM83" s="49">
        <v>2</v>
      </c>
      <c r="AN83" s="101" t="str">
        <f>IF(AM83=1,"Very Low",IF(AM83=2,"Low",IF(AM83=3,"Medium",IF(AM83=4,"High",IF(AM83=5,"Very High",)))))</f>
        <v>Low</v>
      </c>
      <c r="AO83" s="101">
        <f>AH83*AM83</f>
        <v>4</v>
      </c>
      <c r="AP83" s="101" t="str">
        <f>IF(AO83=1,"Very Low",IF(AO83=2,"Very Low",IF(AO83=3,"Very Low",IF(AO83=4,"Very Low",IF(AO83=5,"Very Low",IF(AO83=6,"Very Low",IF(AO83=8,"Low",IF(AO83=9,"Low",IF(AO83=10,"Medium",IF(AO83=12,"Medium",IF(AO83=15,"High",IF(AO83=16,"High",IF(AO83=20,"Very High",IF(AO83=25,"Very High",))))))))))))))</f>
        <v>Very Low</v>
      </c>
      <c r="AQ83" s="57" t="s">
        <v>89</v>
      </c>
      <c r="AR83" s="49" t="s">
        <v>792</v>
      </c>
      <c r="AS83" s="49" t="s">
        <v>793</v>
      </c>
      <c r="AT83" s="147">
        <v>45848</v>
      </c>
      <c r="AU83" s="53" t="s">
        <v>102</v>
      </c>
      <c r="AV83" s="52">
        <v>45725</v>
      </c>
      <c r="AW83" s="54"/>
    </row>
    <row r="84" spans="1:49" s="32" customFormat="1" ht="75" x14ac:dyDescent="0.2">
      <c r="A84" s="49">
        <v>82</v>
      </c>
      <c r="B84" s="65" t="s">
        <v>794</v>
      </c>
      <c r="C84" s="49" t="s">
        <v>18</v>
      </c>
      <c r="D84" s="49" t="s">
        <v>226</v>
      </c>
      <c r="E84" s="49" t="s">
        <v>335</v>
      </c>
      <c r="F84" s="49" t="s">
        <v>612</v>
      </c>
      <c r="G84" s="57" t="s">
        <v>566</v>
      </c>
      <c r="H84" s="49" t="s">
        <v>795</v>
      </c>
      <c r="I84" s="49" t="s">
        <v>796</v>
      </c>
      <c r="J84" s="49" t="s">
        <v>797</v>
      </c>
      <c r="K84" s="49" t="s">
        <v>798</v>
      </c>
      <c r="L84" s="49" t="s">
        <v>799</v>
      </c>
      <c r="M84" s="49" t="s">
        <v>800</v>
      </c>
      <c r="N84" s="49" t="s">
        <v>801</v>
      </c>
      <c r="O84" s="49" t="s">
        <v>85</v>
      </c>
      <c r="P84" s="57" t="s">
        <v>86</v>
      </c>
      <c r="Q84" s="49"/>
      <c r="R84" s="49">
        <v>3</v>
      </c>
      <c r="S84" s="49">
        <v>4</v>
      </c>
      <c r="T84" s="49">
        <v>1</v>
      </c>
      <c r="U84" s="49">
        <v>2</v>
      </c>
      <c r="V84" s="49">
        <v>2</v>
      </c>
      <c r="W84" s="49">
        <v>2</v>
      </c>
      <c r="X84" s="49">
        <v>1</v>
      </c>
      <c r="Y84" s="49">
        <v>2</v>
      </c>
      <c r="Z84" s="49">
        <v>2</v>
      </c>
      <c r="AA84" s="114">
        <v>5</v>
      </c>
      <c r="AB84" s="101" t="s">
        <v>109</v>
      </c>
      <c r="AC84" s="57">
        <v>3</v>
      </c>
      <c r="AD84" s="101" t="s">
        <v>118</v>
      </c>
      <c r="AE84" s="101">
        <f t="shared" si="20"/>
        <v>15</v>
      </c>
      <c r="AF84" s="102" t="str">
        <f t="shared" si="25"/>
        <v>High</v>
      </c>
      <c r="AG84" s="50" t="s">
        <v>150</v>
      </c>
      <c r="AH84" s="51">
        <v>2</v>
      </c>
      <c r="AI84" s="137"/>
      <c r="AJ84" s="76" t="s">
        <v>118</v>
      </c>
      <c r="AK84" s="76">
        <v>2</v>
      </c>
      <c r="AL84" s="101" t="s">
        <v>118</v>
      </c>
      <c r="AM84" s="49">
        <v>1</v>
      </c>
      <c r="AN84" s="101" t="s">
        <v>118</v>
      </c>
      <c r="AO84" s="101">
        <v>2</v>
      </c>
      <c r="AP84" s="101" t="s">
        <v>295</v>
      </c>
      <c r="AQ84" s="57" t="s">
        <v>89</v>
      </c>
      <c r="AR84" s="49" t="s">
        <v>802</v>
      </c>
      <c r="AS84" s="49" t="s">
        <v>793</v>
      </c>
      <c r="AT84" s="147">
        <v>45657</v>
      </c>
      <c r="AU84" s="53" t="s">
        <v>102</v>
      </c>
      <c r="AV84" s="52">
        <v>45511</v>
      </c>
      <c r="AW84" s="54"/>
    </row>
    <row r="85" spans="1:49" s="32" customFormat="1" ht="75" x14ac:dyDescent="0.2">
      <c r="A85" s="49">
        <v>83</v>
      </c>
      <c r="B85" s="65" t="s">
        <v>803</v>
      </c>
      <c r="C85" s="49" t="s">
        <v>164</v>
      </c>
      <c r="D85" s="49" t="s">
        <v>185</v>
      </c>
      <c r="E85" s="49" t="s">
        <v>773</v>
      </c>
      <c r="F85" s="49" t="s">
        <v>580</v>
      </c>
      <c r="G85" s="57" t="s">
        <v>566</v>
      </c>
      <c r="H85" s="49" t="s">
        <v>804</v>
      </c>
      <c r="I85" s="49" t="s">
        <v>805</v>
      </c>
      <c r="J85" s="80" t="s">
        <v>580</v>
      </c>
      <c r="K85" s="80" t="s">
        <v>584</v>
      </c>
      <c r="L85" s="80" t="s">
        <v>806</v>
      </c>
      <c r="M85" s="80" t="s">
        <v>807</v>
      </c>
      <c r="N85" s="80" t="s">
        <v>164</v>
      </c>
      <c r="O85" s="80" t="s">
        <v>180</v>
      </c>
      <c r="P85" s="57" t="s">
        <v>86</v>
      </c>
      <c r="Q85" s="80" t="s">
        <v>808</v>
      </c>
      <c r="R85" s="80">
        <v>2</v>
      </c>
      <c r="S85" s="80">
        <v>2</v>
      </c>
      <c r="T85" s="80">
        <v>2</v>
      </c>
      <c r="U85" s="80">
        <v>2</v>
      </c>
      <c r="V85" s="80">
        <v>3</v>
      </c>
      <c r="W85" s="80">
        <v>2</v>
      </c>
      <c r="X85" s="80">
        <v>4</v>
      </c>
      <c r="Y85" s="80">
        <v>2</v>
      </c>
      <c r="Z85" s="80">
        <v>2</v>
      </c>
      <c r="AA85" s="116">
        <v>4</v>
      </c>
      <c r="AB85" s="113" t="s">
        <v>87</v>
      </c>
      <c r="AC85" s="81">
        <v>4</v>
      </c>
      <c r="AD85" s="109" t="s">
        <v>87</v>
      </c>
      <c r="AE85" s="101">
        <f t="shared" si="20"/>
        <v>16</v>
      </c>
      <c r="AF85" s="102" t="str">
        <f t="shared" si="25"/>
        <v>High</v>
      </c>
      <c r="AG85" s="82" t="s">
        <v>150</v>
      </c>
      <c r="AH85" s="83">
        <v>2</v>
      </c>
      <c r="AI85" s="154"/>
      <c r="AJ85" s="80"/>
      <c r="AK85" s="80"/>
      <c r="AL85" s="113" t="str">
        <f t="shared" ref="AL85:AL114" si="26">IF(AH85=1,"Very Low",IF(AH85=2,"Low",IF(AH85=3,"Medium",IF(AH85=4,"High",IF(AH85=5,"Very High",)))))</f>
        <v>Low</v>
      </c>
      <c r="AM85" s="81">
        <v>2</v>
      </c>
      <c r="AN85" s="101" t="s">
        <v>118</v>
      </c>
      <c r="AO85" s="104">
        <v>4</v>
      </c>
      <c r="AP85" s="104" t="str">
        <f>IF(AO85=1,"Very Low",IF(AO85=2,"Very Low",IF(AO85=3,"Very Low",IF(AO85=4,"Very Low",IF(AO85=5,"Very Low",IF(AO85=6,"Very Low",IF(AO85=8,"Low",IF(AO85=9,"Low",IF(AO85=10,"Medium",IF(AO85=12,"Medium",IF(AO85=15,"High",IF(AO85=16,"High",IF(AO85=20,"Very High",IF(AO85=25,"Very High",))))))))))))))</f>
        <v>Very Low</v>
      </c>
      <c r="AQ85" s="57" t="s">
        <v>89</v>
      </c>
      <c r="AR85" s="80" t="s">
        <v>809</v>
      </c>
      <c r="AS85" s="49" t="s">
        <v>793</v>
      </c>
      <c r="AT85" s="147">
        <v>45848</v>
      </c>
      <c r="AU85" s="53" t="s">
        <v>102</v>
      </c>
      <c r="AV85" s="52">
        <v>45725</v>
      </c>
      <c r="AW85" s="79" t="s">
        <v>780</v>
      </c>
    </row>
    <row r="86" spans="1:49" s="32" customFormat="1" ht="30" x14ac:dyDescent="0.2">
      <c r="A86" s="49">
        <v>84</v>
      </c>
      <c r="B86" s="84" t="s">
        <v>810</v>
      </c>
      <c r="C86" s="49" t="s">
        <v>18</v>
      </c>
      <c r="D86" s="85" t="s">
        <v>226</v>
      </c>
      <c r="E86" s="85" t="s">
        <v>811</v>
      </c>
      <c r="F86" s="85" t="s">
        <v>812</v>
      </c>
      <c r="G86" s="57" t="s">
        <v>566</v>
      </c>
      <c r="H86" s="85" t="s">
        <v>813</v>
      </c>
      <c r="I86" s="85" t="s">
        <v>814</v>
      </c>
      <c r="J86" s="85" t="s">
        <v>590</v>
      </c>
      <c r="K86" s="85" t="s">
        <v>518</v>
      </c>
      <c r="L86" s="85" t="s">
        <v>815</v>
      </c>
      <c r="M86" s="85" t="s">
        <v>816</v>
      </c>
      <c r="N86" s="85" t="s">
        <v>608</v>
      </c>
      <c r="O86" s="85" t="s">
        <v>85</v>
      </c>
      <c r="P86" s="57" t="s">
        <v>86</v>
      </c>
      <c r="Q86" s="85" t="s">
        <v>817</v>
      </c>
      <c r="R86" s="84">
        <v>5</v>
      </c>
      <c r="S86" s="85">
        <v>1</v>
      </c>
      <c r="T86" s="85">
        <v>5</v>
      </c>
      <c r="U86" s="85" t="s">
        <v>818</v>
      </c>
      <c r="V86" s="85" t="s">
        <v>818</v>
      </c>
      <c r="W86" s="85" t="s">
        <v>818</v>
      </c>
      <c r="X86" s="85" t="s">
        <v>818</v>
      </c>
      <c r="Y86" s="85" t="s">
        <v>818</v>
      </c>
      <c r="Z86" s="85" t="s">
        <v>818</v>
      </c>
      <c r="AA86" s="117">
        <v>5</v>
      </c>
      <c r="AB86" s="110" t="s">
        <v>100</v>
      </c>
      <c r="AC86" s="86">
        <v>1</v>
      </c>
      <c r="AD86" s="110" t="s">
        <v>295</v>
      </c>
      <c r="AE86" s="101">
        <f t="shared" si="20"/>
        <v>5</v>
      </c>
      <c r="AF86" s="102" t="str">
        <f t="shared" si="25"/>
        <v>Very Low</v>
      </c>
      <c r="AG86" s="87" t="s">
        <v>88</v>
      </c>
      <c r="AH86" s="88">
        <v>2</v>
      </c>
      <c r="AI86" s="85"/>
      <c r="AJ86" s="76"/>
      <c r="AK86" s="76"/>
      <c r="AL86" s="104" t="str">
        <f t="shared" si="26"/>
        <v>Low</v>
      </c>
      <c r="AM86" s="84">
        <v>1</v>
      </c>
      <c r="AN86" s="112"/>
      <c r="AO86" s="105">
        <v>2</v>
      </c>
      <c r="AP86" s="101" t="s">
        <v>295</v>
      </c>
      <c r="AQ86" s="61" t="s">
        <v>89</v>
      </c>
      <c r="AR86" s="84" t="s">
        <v>819</v>
      </c>
      <c r="AS86" s="49" t="s">
        <v>820</v>
      </c>
      <c r="AT86" s="55" t="s">
        <v>821</v>
      </c>
      <c r="AU86" s="53" t="s">
        <v>102</v>
      </c>
      <c r="AV86" s="52">
        <v>45721</v>
      </c>
      <c r="AW86" s="89" t="s">
        <v>822</v>
      </c>
    </row>
    <row r="87" spans="1:49" s="32" customFormat="1" ht="90" x14ac:dyDescent="0.2">
      <c r="A87" s="49">
        <v>85</v>
      </c>
      <c r="B87" s="84" t="s">
        <v>823</v>
      </c>
      <c r="C87" s="49" t="s">
        <v>18</v>
      </c>
      <c r="D87" s="74" t="s">
        <v>226</v>
      </c>
      <c r="E87" s="74" t="s">
        <v>824</v>
      </c>
      <c r="F87" s="58" t="s">
        <v>812</v>
      </c>
      <c r="G87" s="57" t="s">
        <v>566</v>
      </c>
      <c r="H87" s="74" t="s">
        <v>613</v>
      </c>
      <c r="I87" s="74" t="s">
        <v>825</v>
      </c>
      <c r="J87" s="58" t="s">
        <v>590</v>
      </c>
      <c r="K87" s="90" t="s">
        <v>590</v>
      </c>
      <c r="L87" s="74" t="s">
        <v>826</v>
      </c>
      <c r="M87" s="74" t="s">
        <v>827</v>
      </c>
      <c r="N87" s="58" t="s">
        <v>18</v>
      </c>
      <c r="O87" s="74" t="s">
        <v>85</v>
      </c>
      <c r="P87" s="57" t="s">
        <v>86</v>
      </c>
      <c r="Q87" s="74" t="s">
        <v>828</v>
      </c>
      <c r="R87" s="74">
        <v>2</v>
      </c>
      <c r="S87" s="74">
        <v>3</v>
      </c>
      <c r="T87" s="74">
        <v>3</v>
      </c>
      <c r="U87" s="74" t="s">
        <v>818</v>
      </c>
      <c r="V87" s="74">
        <v>3</v>
      </c>
      <c r="W87" s="74" t="s">
        <v>818</v>
      </c>
      <c r="X87" s="74" t="s">
        <v>818</v>
      </c>
      <c r="Y87" s="74" t="s">
        <v>818</v>
      </c>
      <c r="Z87" s="74" t="s">
        <v>818</v>
      </c>
      <c r="AA87" s="118">
        <v>3</v>
      </c>
      <c r="AB87" s="111" t="s">
        <v>109</v>
      </c>
      <c r="AC87" s="58">
        <v>3</v>
      </c>
      <c r="AD87" s="111" t="s">
        <v>109</v>
      </c>
      <c r="AE87" s="101">
        <f t="shared" si="20"/>
        <v>9</v>
      </c>
      <c r="AF87" s="102" t="str">
        <f t="shared" si="25"/>
        <v>Low</v>
      </c>
      <c r="AG87" s="91" t="s">
        <v>150</v>
      </c>
      <c r="AH87" s="77">
        <v>3</v>
      </c>
      <c r="AI87" s="74"/>
      <c r="AJ87" s="76"/>
      <c r="AK87" s="76"/>
      <c r="AL87" s="104" t="str">
        <f t="shared" si="26"/>
        <v>Medium</v>
      </c>
      <c r="AM87" s="65">
        <v>2</v>
      </c>
      <c r="AN87" s="112"/>
      <c r="AO87" s="106">
        <v>6</v>
      </c>
      <c r="AP87" s="104" t="str">
        <f>IF(AO87=1,"Very Low",IF(AO87=2,"Very Low",IF(AO87=3,"Very Low",IF(AO87=4,"Very Low",IF(AO87=5,"Very Low",IF(AO87=6,"Very Low",IF(AO87=8,"Low",IF(AO87=9,"Low",IF(AO87=10,"Medium",IF(AO87=12,"Medium",IF(AO87=15,"High",IF(AO87=16,"High",IF(AO87=20,"Very High",IF(AO87=25,"Very High",))))))))))))))</f>
        <v>Very Low</v>
      </c>
      <c r="AQ87" s="78" t="s">
        <v>89</v>
      </c>
      <c r="AR87" s="74" t="s">
        <v>829</v>
      </c>
      <c r="AS87" s="74" t="s">
        <v>830</v>
      </c>
      <c r="AT87" s="123" t="s">
        <v>821</v>
      </c>
      <c r="AU87" s="53" t="s">
        <v>102</v>
      </c>
      <c r="AV87" s="52">
        <v>45721</v>
      </c>
      <c r="AW87" s="92" t="s">
        <v>831</v>
      </c>
    </row>
    <row r="88" spans="1:49" s="32" customFormat="1" ht="45" x14ac:dyDescent="0.2">
      <c r="A88" s="49">
        <v>86</v>
      </c>
      <c r="B88" s="84" t="s">
        <v>832</v>
      </c>
      <c r="C88" s="49" t="s">
        <v>18</v>
      </c>
      <c r="D88" s="74" t="s">
        <v>226</v>
      </c>
      <c r="E88" s="74" t="s">
        <v>833</v>
      </c>
      <c r="F88" s="58" t="s">
        <v>812</v>
      </c>
      <c r="G88" s="57" t="s">
        <v>566</v>
      </c>
      <c r="H88" s="74" t="s">
        <v>834</v>
      </c>
      <c r="I88" s="74" t="s">
        <v>835</v>
      </c>
      <c r="J88" s="58" t="s">
        <v>590</v>
      </c>
      <c r="K88" s="58" t="s">
        <v>721</v>
      </c>
      <c r="L88" s="74" t="s">
        <v>836</v>
      </c>
      <c r="M88" s="74" t="s">
        <v>837</v>
      </c>
      <c r="N88" s="58" t="s">
        <v>164</v>
      </c>
      <c r="O88" s="74" t="s">
        <v>85</v>
      </c>
      <c r="P88" s="57" t="s">
        <v>86</v>
      </c>
      <c r="Q88" s="74" t="s">
        <v>838</v>
      </c>
      <c r="R88" s="74">
        <v>3</v>
      </c>
      <c r="S88" s="74" t="s">
        <v>818</v>
      </c>
      <c r="T88" s="74">
        <v>4</v>
      </c>
      <c r="U88" s="74" t="s">
        <v>818</v>
      </c>
      <c r="V88" s="74" t="s">
        <v>818</v>
      </c>
      <c r="W88" s="74" t="s">
        <v>818</v>
      </c>
      <c r="X88" s="74" t="s">
        <v>818</v>
      </c>
      <c r="Y88" s="74" t="s">
        <v>818</v>
      </c>
      <c r="Z88" s="74" t="s">
        <v>818</v>
      </c>
      <c r="AA88" s="118">
        <v>4</v>
      </c>
      <c r="AB88" s="111" t="s">
        <v>87</v>
      </c>
      <c r="AC88" s="74">
        <v>3</v>
      </c>
      <c r="AD88" s="111" t="s">
        <v>109</v>
      </c>
      <c r="AE88" s="101">
        <f t="shared" si="20"/>
        <v>12</v>
      </c>
      <c r="AF88" s="102" t="str">
        <f t="shared" si="25"/>
        <v>Medium</v>
      </c>
      <c r="AG88" s="91" t="s">
        <v>150</v>
      </c>
      <c r="AH88" s="77">
        <v>3</v>
      </c>
      <c r="AI88" s="74"/>
      <c r="AJ88" s="76"/>
      <c r="AK88" s="76"/>
      <c r="AL88" s="104" t="str">
        <f t="shared" si="26"/>
        <v>Medium</v>
      </c>
      <c r="AM88" s="65">
        <v>2</v>
      </c>
      <c r="AN88" s="112"/>
      <c r="AO88" s="106">
        <v>6</v>
      </c>
      <c r="AP88" s="101" t="s">
        <v>295</v>
      </c>
      <c r="AQ88" s="78" t="s">
        <v>89</v>
      </c>
      <c r="AR88" s="74" t="s">
        <v>839</v>
      </c>
      <c r="AS88" s="74" t="s">
        <v>580</v>
      </c>
      <c r="AT88" s="123" t="s">
        <v>821</v>
      </c>
      <c r="AU88" s="53" t="s">
        <v>102</v>
      </c>
      <c r="AV88" s="52">
        <v>45721</v>
      </c>
      <c r="AW88" s="74" t="s">
        <v>822</v>
      </c>
    </row>
    <row r="89" spans="1:49" s="32" customFormat="1" ht="120" x14ac:dyDescent="0.2">
      <c r="A89" s="49">
        <v>87</v>
      </c>
      <c r="B89" s="84" t="s">
        <v>840</v>
      </c>
      <c r="C89" s="49" t="s">
        <v>18</v>
      </c>
      <c r="D89" s="74" t="s">
        <v>226</v>
      </c>
      <c r="E89" s="74" t="s">
        <v>833</v>
      </c>
      <c r="F89" s="58" t="s">
        <v>812</v>
      </c>
      <c r="G89" s="57" t="s">
        <v>566</v>
      </c>
      <c r="H89" s="74" t="s">
        <v>841</v>
      </c>
      <c r="I89" s="74" t="s">
        <v>842</v>
      </c>
      <c r="J89" s="58" t="s">
        <v>590</v>
      </c>
      <c r="K89" s="58" t="s">
        <v>843</v>
      </c>
      <c r="L89" s="74" t="s">
        <v>844</v>
      </c>
      <c r="M89" s="74" t="s">
        <v>845</v>
      </c>
      <c r="N89" s="58" t="s">
        <v>846</v>
      </c>
      <c r="O89" s="74" t="s">
        <v>85</v>
      </c>
      <c r="P89" s="57" t="s">
        <v>86</v>
      </c>
      <c r="Q89" s="74" t="s">
        <v>847</v>
      </c>
      <c r="R89" s="74">
        <v>3</v>
      </c>
      <c r="S89" s="74">
        <v>3</v>
      </c>
      <c r="T89" s="74">
        <v>3</v>
      </c>
      <c r="U89" s="74" t="s">
        <v>818</v>
      </c>
      <c r="V89" s="74" t="s">
        <v>818</v>
      </c>
      <c r="W89" s="74">
        <v>3</v>
      </c>
      <c r="X89" s="74" t="s">
        <v>818</v>
      </c>
      <c r="Y89" s="74" t="s">
        <v>818</v>
      </c>
      <c r="Z89" s="58" t="s">
        <v>818</v>
      </c>
      <c r="AA89" s="118">
        <v>3</v>
      </c>
      <c r="AB89" s="111" t="s">
        <v>109</v>
      </c>
      <c r="AC89" s="74">
        <v>4</v>
      </c>
      <c r="AD89" s="111" t="s">
        <v>87</v>
      </c>
      <c r="AE89" s="101">
        <f t="shared" si="20"/>
        <v>12</v>
      </c>
      <c r="AF89" s="102" t="str">
        <f t="shared" si="25"/>
        <v>Medium</v>
      </c>
      <c r="AG89" s="91" t="s">
        <v>150</v>
      </c>
      <c r="AH89" s="77">
        <v>2</v>
      </c>
      <c r="AI89" s="74"/>
      <c r="AJ89" s="76"/>
      <c r="AK89" s="76"/>
      <c r="AL89" s="104" t="str">
        <f t="shared" si="26"/>
        <v>Low</v>
      </c>
      <c r="AM89" s="78">
        <v>2</v>
      </c>
      <c r="AN89" s="112"/>
      <c r="AO89" s="106">
        <v>4</v>
      </c>
      <c r="AP89" s="104" t="str">
        <f>IF(AO89=1,"Very Low",IF(AO89=2,"Very Low",IF(AO89=3,"Very Low",IF(AO89=4,"Very Low",IF(AO89=5,"Very Low",IF(AO89=6,"Very Low",IF(AO89=8,"Low",IF(AO89=9,"Low",IF(AO89=10,"Medium",IF(AO89=12,"Medium",IF(AO89=15,"High",IF(AO89=16,"High",IF(AO89=20,"Very High",IF(AO89=25,"Very High",))))))))))))))</f>
        <v>Very Low</v>
      </c>
      <c r="AQ89" s="78" t="s">
        <v>89</v>
      </c>
      <c r="AR89" s="58" t="s">
        <v>848</v>
      </c>
      <c r="AS89" s="74" t="s">
        <v>830</v>
      </c>
      <c r="AT89" s="123" t="s">
        <v>821</v>
      </c>
      <c r="AU89" s="53" t="s">
        <v>102</v>
      </c>
      <c r="AV89" s="52">
        <v>45721</v>
      </c>
      <c r="AW89" s="93" t="s">
        <v>822</v>
      </c>
    </row>
    <row r="90" spans="1:49" s="32" customFormat="1" ht="60" x14ac:dyDescent="0.2">
      <c r="A90" s="49">
        <v>88</v>
      </c>
      <c r="B90" s="84" t="s">
        <v>849</v>
      </c>
      <c r="C90" s="49" t="s">
        <v>18</v>
      </c>
      <c r="D90" s="74" t="s">
        <v>226</v>
      </c>
      <c r="E90" s="74" t="s">
        <v>833</v>
      </c>
      <c r="F90" s="58" t="s">
        <v>812</v>
      </c>
      <c r="G90" s="57" t="s">
        <v>566</v>
      </c>
      <c r="H90" s="74" t="s">
        <v>841</v>
      </c>
      <c r="I90" s="74" t="s">
        <v>850</v>
      </c>
      <c r="J90" s="58" t="s">
        <v>590</v>
      </c>
      <c r="K90" s="58" t="s">
        <v>851</v>
      </c>
      <c r="L90" s="74" t="s">
        <v>852</v>
      </c>
      <c r="M90" s="74" t="s">
        <v>845</v>
      </c>
      <c r="N90" s="58" t="s">
        <v>846</v>
      </c>
      <c r="O90" s="74" t="s">
        <v>85</v>
      </c>
      <c r="P90" s="57" t="s">
        <v>86</v>
      </c>
      <c r="Q90" s="74" t="s">
        <v>822</v>
      </c>
      <c r="R90" s="74">
        <v>3</v>
      </c>
      <c r="S90" s="74">
        <v>2</v>
      </c>
      <c r="T90" s="74">
        <v>2</v>
      </c>
      <c r="U90" s="74" t="s">
        <v>818</v>
      </c>
      <c r="V90" s="74" t="s">
        <v>818</v>
      </c>
      <c r="W90" s="74">
        <v>5</v>
      </c>
      <c r="X90" s="74" t="s">
        <v>818</v>
      </c>
      <c r="Y90" s="74" t="s">
        <v>818</v>
      </c>
      <c r="Z90" s="58" t="s">
        <v>818</v>
      </c>
      <c r="AA90" s="118">
        <v>5</v>
      </c>
      <c r="AB90" s="111" t="s">
        <v>100</v>
      </c>
      <c r="AC90" s="74">
        <v>2</v>
      </c>
      <c r="AD90" s="111" t="s">
        <v>118</v>
      </c>
      <c r="AE90" s="101">
        <f t="shared" si="20"/>
        <v>10</v>
      </c>
      <c r="AF90" s="102" t="str">
        <f t="shared" si="25"/>
        <v>Medium</v>
      </c>
      <c r="AG90" s="91" t="s">
        <v>150</v>
      </c>
      <c r="AH90" s="77">
        <v>3</v>
      </c>
      <c r="AI90" s="74"/>
      <c r="AJ90" s="76"/>
      <c r="AK90" s="76"/>
      <c r="AL90" s="104" t="str">
        <f t="shared" si="26"/>
        <v>Medium</v>
      </c>
      <c r="AM90" s="78">
        <v>1</v>
      </c>
      <c r="AN90" s="112"/>
      <c r="AO90" s="106">
        <v>3</v>
      </c>
      <c r="AP90" s="101" t="s">
        <v>295</v>
      </c>
      <c r="AQ90" s="78" t="s">
        <v>89</v>
      </c>
      <c r="AR90" s="58" t="s">
        <v>853</v>
      </c>
      <c r="AS90" s="74" t="s">
        <v>854</v>
      </c>
      <c r="AT90" s="123" t="s">
        <v>821</v>
      </c>
      <c r="AU90" s="53" t="s">
        <v>102</v>
      </c>
      <c r="AV90" s="52">
        <v>45721</v>
      </c>
      <c r="AW90" s="93" t="s">
        <v>822</v>
      </c>
    </row>
    <row r="91" spans="1:49" s="32" customFormat="1" ht="60" x14ac:dyDescent="0.2">
      <c r="A91" s="49">
        <v>89</v>
      </c>
      <c r="B91" s="84" t="s">
        <v>855</v>
      </c>
      <c r="C91" s="49" t="s">
        <v>18</v>
      </c>
      <c r="D91" s="74" t="s">
        <v>226</v>
      </c>
      <c r="E91" s="74" t="s">
        <v>833</v>
      </c>
      <c r="F91" s="58" t="s">
        <v>812</v>
      </c>
      <c r="G91" s="57" t="s">
        <v>566</v>
      </c>
      <c r="H91" s="74" t="s">
        <v>841</v>
      </c>
      <c r="I91" s="74" t="s">
        <v>856</v>
      </c>
      <c r="J91" s="58" t="s">
        <v>590</v>
      </c>
      <c r="K91" s="58" t="s">
        <v>857</v>
      </c>
      <c r="L91" s="74" t="s">
        <v>858</v>
      </c>
      <c r="M91" s="74" t="s">
        <v>845</v>
      </c>
      <c r="N91" s="58" t="s">
        <v>846</v>
      </c>
      <c r="O91" s="74" t="s">
        <v>85</v>
      </c>
      <c r="P91" s="57" t="s">
        <v>86</v>
      </c>
      <c r="Q91" s="74" t="s">
        <v>822</v>
      </c>
      <c r="R91" s="74">
        <v>3</v>
      </c>
      <c r="S91" s="74">
        <v>2</v>
      </c>
      <c r="T91" s="74">
        <v>2</v>
      </c>
      <c r="U91" s="74" t="s">
        <v>818</v>
      </c>
      <c r="V91" s="74" t="s">
        <v>818</v>
      </c>
      <c r="W91" s="74">
        <v>5</v>
      </c>
      <c r="X91" s="74" t="s">
        <v>818</v>
      </c>
      <c r="Y91" s="74" t="s">
        <v>818</v>
      </c>
      <c r="Z91" s="58" t="s">
        <v>818</v>
      </c>
      <c r="AA91" s="119">
        <v>5</v>
      </c>
      <c r="AB91" s="106" t="s">
        <v>100</v>
      </c>
      <c r="AC91" s="74">
        <v>2</v>
      </c>
      <c r="AD91" s="111" t="s">
        <v>118</v>
      </c>
      <c r="AE91" s="101">
        <f t="shared" si="20"/>
        <v>10</v>
      </c>
      <c r="AF91" s="102" t="str">
        <f t="shared" si="25"/>
        <v>Medium</v>
      </c>
      <c r="AG91" s="91" t="s">
        <v>150</v>
      </c>
      <c r="AH91" s="77">
        <v>2</v>
      </c>
      <c r="AI91" s="74"/>
      <c r="AJ91" s="76"/>
      <c r="AK91" s="76"/>
      <c r="AL91" s="104" t="str">
        <f t="shared" si="26"/>
        <v>Low</v>
      </c>
      <c r="AM91" s="78">
        <v>1</v>
      </c>
      <c r="AN91" s="112"/>
      <c r="AO91" s="106">
        <v>2</v>
      </c>
      <c r="AP91" s="104" t="str">
        <f>IF(AO91=1,"Very Low",IF(AO91=2,"Very Low",IF(AO91=3,"Very Low",IF(AO91=4,"Very Low",IF(AO91=5,"Very Low",IF(AO91=6,"Very Low",IF(AO91=8,"Low",IF(AO91=9,"Low",IF(AO91=10,"Medium",IF(AO91=12,"Medium",IF(AO91=15,"High",IF(AO91=16,"High",IF(AO91=20,"Very High",IF(AO91=25,"Very High",))))))))))))))</f>
        <v>Very Low</v>
      </c>
      <c r="AQ91" s="78" t="s">
        <v>89</v>
      </c>
      <c r="AR91" s="58" t="s">
        <v>859</v>
      </c>
      <c r="AS91" s="74" t="s">
        <v>860</v>
      </c>
      <c r="AT91" s="123" t="s">
        <v>821</v>
      </c>
      <c r="AU91" s="53" t="s">
        <v>102</v>
      </c>
      <c r="AV91" s="52">
        <v>45721</v>
      </c>
      <c r="AW91" s="93" t="s">
        <v>822</v>
      </c>
    </row>
    <row r="92" spans="1:49" s="32" customFormat="1" ht="135" x14ac:dyDescent="0.2">
      <c r="A92" s="49">
        <v>90</v>
      </c>
      <c r="B92" s="84" t="s">
        <v>861</v>
      </c>
      <c r="C92" s="49" t="s">
        <v>18</v>
      </c>
      <c r="D92" s="74" t="s">
        <v>226</v>
      </c>
      <c r="E92" s="74" t="s">
        <v>824</v>
      </c>
      <c r="F92" s="58" t="s">
        <v>812</v>
      </c>
      <c r="G92" s="57" t="s">
        <v>566</v>
      </c>
      <c r="H92" s="74" t="s">
        <v>862</v>
      </c>
      <c r="I92" s="74" t="s">
        <v>863</v>
      </c>
      <c r="J92" s="58" t="s">
        <v>590</v>
      </c>
      <c r="K92" s="58" t="s">
        <v>864</v>
      </c>
      <c r="L92" s="74" t="s">
        <v>865</v>
      </c>
      <c r="M92" s="74" t="s">
        <v>866</v>
      </c>
      <c r="N92" s="58" t="s">
        <v>867</v>
      </c>
      <c r="O92" s="74" t="s">
        <v>85</v>
      </c>
      <c r="P92" s="57" t="s">
        <v>86</v>
      </c>
      <c r="Q92" s="94" t="s">
        <v>868</v>
      </c>
      <c r="R92" s="74">
        <v>3</v>
      </c>
      <c r="S92" s="74">
        <v>3</v>
      </c>
      <c r="T92" s="74">
        <v>3</v>
      </c>
      <c r="U92" s="74" t="s">
        <v>818</v>
      </c>
      <c r="V92" s="74" t="s">
        <v>818</v>
      </c>
      <c r="W92" s="74" t="s">
        <v>818</v>
      </c>
      <c r="X92" s="74" t="s">
        <v>818</v>
      </c>
      <c r="Y92" s="74" t="s">
        <v>818</v>
      </c>
      <c r="Z92" s="58" t="s">
        <v>818</v>
      </c>
      <c r="AA92" s="120">
        <v>3</v>
      </c>
      <c r="AB92" s="111" t="s">
        <v>109</v>
      </c>
      <c r="AC92" s="74">
        <v>3</v>
      </c>
      <c r="AD92" s="111" t="s">
        <v>109</v>
      </c>
      <c r="AE92" s="101">
        <f t="shared" si="20"/>
        <v>9</v>
      </c>
      <c r="AF92" s="102" t="str">
        <f t="shared" si="25"/>
        <v>Low</v>
      </c>
      <c r="AG92" s="91" t="s">
        <v>150</v>
      </c>
      <c r="AH92" s="77">
        <v>2</v>
      </c>
      <c r="AI92" s="74"/>
      <c r="AJ92" s="76"/>
      <c r="AK92" s="76"/>
      <c r="AL92" s="104" t="str">
        <f t="shared" si="26"/>
        <v>Low</v>
      </c>
      <c r="AM92" s="78">
        <v>1</v>
      </c>
      <c r="AN92" s="112"/>
      <c r="AO92" s="106">
        <v>2</v>
      </c>
      <c r="AP92" s="101" t="s">
        <v>295</v>
      </c>
      <c r="AQ92" s="78" t="s">
        <v>89</v>
      </c>
      <c r="AR92" s="58" t="s">
        <v>869</v>
      </c>
      <c r="AS92" s="74" t="s">
        <v>590</v>
      </c>
      <c r="AT92" s="123" t="s">
        <v>870</v>
      </c>
      <c r="AU92" s="53" t="s">
        <v>102</v>
      </c>
      <c r="AV92" s="52">
        <v>45721</v>
      </c>
      <c r="AW92" s="93" t="s">
        <v>822</v>
      </c>
    </row>
    <row r="93" spans="1:49" s="32" customFormat="1" ht="120" x14ac:dyDescent="0.2">
      <c r="A93" s="49">
        <v>91</v>
      </c>
      <c r="B93" s="84" t="s">
        <v>871</v>
      </c>
      <c r="C93" s="49" t="s">
        <v>654</v>
      </c>
      <c r="D93" s="74" t="s">
        <v>25</v>
      </c>
      <c r="E93" s="74" t="s">
        <v>872</v>
      </c>
      <c r="F93" s="58" t="s">
        <v>812</v>
      </c>
      <c r="G93" s="57" t="s">
        <v>566</v>
      </c>
      <c r="H93" s="58" t="s">
        <v>873</v>
      </c>
      <c r="I93" s="74" t="s">
        <v>874</v>
      </c>
      <c r="J93" s="58" t="s">
        <v>590</v>
      </c>
      <c r="K93" s="58" t="s">
        <v>864</v>
      </c>
      <c r="L93" s="74" t="s">
        <v>875</v>
      </c>
      <c r="M93" s="74" t="s">
        <v>876</v>
      </c>
      <c r="N93" s="74" t="s">
        <v>867</v>
      </c>
      <c r="O93" s="74" t="s">
        <v>85</v>
      </c>
      <c r="P93" s="57" t="s">
        <v>86</v>
      </c>
      <c r="Q93" s="74" t="s">
        <v>877</v>
      </c>
      <c r="R93" s="74">
        <v>4</v>
      </c>
      <c r="S93" s="74">
        <v>4</v>
      </c>
      <c r="T93" s="74">
        <v>4</v>
      </c>
      <c r="U93" s="74" t="s">
        <v>818</v>
      </c>
      <c r="V93" s="74" t="s">
        <v>818</v>
      </c>
      <c r="W93" s="74" t="s">
        <v>818</v>
      </c>
      <c r="X93" s="74" t="s">
        <v>818</v>
      </c>
      <c r="Y93" s="74" t="s">
        <v>818</v>
      </c>
      <c r="Z93" s="74" t="s">
        <v>818</v>
      </c>
      <c r="AA93" s="121">
        <v>4</v>
      </c>
      <c r="AB93" s="111" t="s">
        <v>87</v>
      </c>
      <c r="AC93" s="74">
        <v>2</v>
      </c>
      <c r="AD93" s="111" t="s">
        <v>118</v>
      </c>
      <c r="AE93" s="101">
        <f t="shared" si="20"/>
        <v>8</v>
      </c>
      <c r="AF93" s="102" t="str">
        <f t="shared" si="25"/>
        <v>Low</v>
      </c>
      <c r="AG93" s="91" t="s">
        <v>150</v>
      </c>
      <c r="AH93" s="77">
        <v>2</v>
      </c>
      <c r="AI93" s="74"/>
      <c r="AJ93" s="76"/>
      <c r="AK93" s="76"/>
      <c r="AL93" s="104" t="str">
        <f t="shared" si="26"/>
        <v>Low</v>
      </c>
      <c r="AM93" s="77">
        <v>1</v>
      </c>
      <c r="AN93" s="112"/>
      <c r="AO93" s="106">
        <v>2</v>
      </c>
      <c r="AP93" s="104" t="str">
        <f>IF(AO93=1,"Very Low",IF(AO93=2,"Very Low",IF(AO93=3,"Very Low",IF(AO93=4,"Very Low",IF(AO93=5,"Very Low",IF(AO93=6,"Very Low",IF(AO93=8,"Low",IF(AO93=9,"Low",IF(AO93=10,"Medium",IF(AO93=12,"Medium",IF(AO93=15,"High",IF(AO93=16,"High",IF(AO93=20,"Very High",IF(AO93=25,"Very High",))))))))))))))</f>
        <v>Very Low</v>
      </c>
      <c r="AQ93" s="78" t="s">
        <v>89</v>
      </c>
      <c r="AR93" s="58" t="s">
        <v>878</v>
      </c>
      <c r="AS93" s="58" t="s">
        <v>864</v>
      </c>
      <c r="AT93" s="124" t="s">
        <v>870</v>
      </c>
      <c r="AU93" s="53" t="s">
        <v>102</v>
      </c>
      <c r="AV93" s="52">
        <v>45721</v>
      </c>
      <c r="AW93" s="93" t="s">
        <v>822</v>
      </c>
    </row>
    <row r="94" spans="1:49" s="32" customFormat="1" ht="120" x14ac:dyDescent="0.2">
      <c r="A94" s="49">
        <v>92</v>
      </c>
      <c r="B94" s="84" t="s">
        <v>879</v>
      </c>
      <c r="C94" s="49" t="s">
        <v>18</v>
      </c>
      <c r="D94" s="74" t="s">
        <v>226</v>
      </c>
      <c r="E94" s="74" t="s">
        <v>824</v>
      </c>
      <c r="F94" s="58" t="s">
        <v>812</v>
      </c>
      <c r="G94" s="57" t="s">
        <v>566</v>
      </c>
      <c r="H94" s="58" t="s">
        <v>613</v>
      </c>
      <c r="I94" s="74" t="s">
        <v>880</v>
      </c>
      <c r="J94" s="58" t="s">
        <v>590</v>
      </c>
      <c r="K94" s="58" t="s">
        <v>864</v>
      </c>
      <c r="L94" s="74" t="s">
        <v>881</v>
      </c>
      <c r="M94" s="74" t="s">
        <v>882</v>
      </c>
      <c r="N94" s="74" t="s">
        <v>867</v>
      </c>
      <c r="O94" s="74" t="s">
        <v>85</v>
      </c>
      <c r="P94" s="57" t="s">
        <v>86</v>
      </c>
      <c r="Q94" s="74" t="s">
        <v>868</v>
      </c>
      <c r="R94" s="74">
        <v>4</v>
      </c>
      <c r="S94" s="74">
        <v>4</v>
      </c>
      <c r="T94" s="74">
        <v>2</v>
      </c>
      <c r="U94" s="74" t="s">
        <v>818</v>
      </c>
      <c r="V94" s="74" t="s">
        <v>818</v>
      </c>
      <c r="W94" s="74" t="s">
        <v>818</v>
      </c>
      <c r="X94" s="74" t="s">
        <v>818</v>
      </c>
      <c r="Y94" s="74" t="s">
        <v>818</v>
      </c>
      <c r="Z94" s="74" t="s">
        <v>818</v>
      </c>
      <c r="AA94" s="121">
        <v>4</v>
      </c>
      <c r="AB94" s="111" t="s">
        <v>87</v>
      </c>
      <c r="AC94" s="74">
        <v>3</v>
      </c>
      <c r="AD94" s="111" t="s">
        <v>109</v>
      </c>
      <c r="AE94" s="101">
        <f t="shared" si="20"/>
        <v>12</v>
      </c>
      <c r="AF94" s="102" t="str">
        <f t="shared" si="25"/>
        <v>Medium</v>
      </c>
      <c r="AG94" s="91" t="s">
        <v>150</v>
      </c>
      <c r="AH94" s="77">
        <v>3</v>
      </c>
      <c r="AI94" s="74"/>
      <c r="AJ94" s="76"/>
      <c r="AK94" s="76"/>
      <c r="AL94" s="104" t="str">
        <f t="shared" si="26"/>
        <v>Medium</v>
      </c>
      <c r="AM94" s="77">
        <v>1</v>
      </c>
      <c r="AN94" s="112"/>
      <c r="AO94" s="106">
        <v>3</v>
      </c>
      <c r="AP94" s="101" t="s">
        <v>295</v>
      </c>
      <c r="AQ94" s="78" t="s">
        <v>89</v>
      </c>
      <c r="AR94" s="58" t="s">
        <v>883</v>
      </c>
      <c r="AS94" s="58" t="s">
        <v>864</v>
      </c>
      <c r="AT94" s="124" t="s">
        <v>870</v>
      </c>
      <c r="AU94" s="53" t="s">
        <v>102</v>
      </c>
      <c r="AV94" s="52">
        <v>45721</v>
      </c>
      <c r="AW94" s="93" t="s">
        <v>822</v>
      </c>
    </row>
    <row r="95" spans="1:49" s="32" customFormat="1" ht="60" x14ac:dyDescent="0.2">
      <c r="A95" s="49">
        <v>93</v>
      </c>
      <c r="B95" s="84" t="s">
        <v>884</v>
      </c>
      <c r="C95" s="49" t="s">
        <v>654</v>
      </c>
      <c r="D95" s="74" t="s">
        <v>25</v>
      </c>
      <c r="E95" s="74" t="s">
        <v>307</v>
      </c>
      <c r="F95" s="58" t="s">
        <v>812</v>
      </c>
      <c r="G95" s="57" t="s">
        <v>566</v>
      </c>
      <c r="H95" s="58" t="s">
        <v>873</v>
      </c>
      <c r="I95" s="74" t="s">
        <v>885</v>
      </c>
      <c r="J95" s="58" t="s">
        <v>590</v>
      </c>
      <c r="K95" s="58" t="s">
        <v>864</v>
      </c>
      <c r="L95" s="74" t="s">
        <v>886</v>
      </c>
      <c r="M95" s="74" t="s">
        <v>887</v>
      </c>
      <c r="N95" s="74" t="s">
        <v>608</v>
      </c>
      <c r="O95" s="74" t="s">
        <v>888</v>
      </c>
      <c r="P95" s="57" t="s">
        <v>86</v>
      </c>
      <c r="Q95" s="74" t="s">
        <v>889</v>
      </c>
      <c r="R95" s="74">
        <v>4</v>
      </c>
      <c r="S95" s="74">
        <v>5</v>
      </c>
      <c r="T95" s="74">
        <v>2</v>
      </c>
      <c r="U95" s="74" t="s">
        <v>818</v>
      </c>
      <c r="V95" s="74" t="s">
        <v>818</v>
      </c>
      <c r="W95" s="74">
        <v>4</v>
      </c>
      <c r="X95" s="74">
        <v>3</v>
      </c>
      <c r="Y95" s="74" t="s">
        <v>818</v>
      </c>
      <c r="Z95" s="74">
        <v>4</v>
      </c>
      <c r="AA95" s="121">
        <v>5</v>
      </c>
      <c r="AB95" s="111" t="s">
        <v>100</v>
      </c>
      <c r="AC95" s="74">
        <v>1</v>
      </c>
      <c r="AD95" s="111" t="s">
        <v>109</v>
      </c>
      <c r="AE95" s="101">
        <f t="shared" si="20"/>
        <v>5</v>
      </c>
      <c r="AF95" s="102" t="str">
        <f t="shared" si="25"/>
        <v>Very Low</v>
      </c>
      <c r="AG95" s="91" t="s">
        <v>315</v>
      </c>
      <c r="AH95" s="77">
        <v>3</v>
      </c>
      <c r="AI95" s="74"/>
      <c r="AJ95" s="76"/>
      <c r="AK95" s="76"/>
      <c r="AL95" s="104" t="str">
        <f t="shared" si="26"/>
        <v>Medium</v>
      </c>
      <c r="AM95" s="77">
        <v>1</v>
      </c>
      <c r="AN95" s="112"/>
      <c r="AO95" s="106">
        <v>3</v>
      </c>
      <c r="AP95" s="104" t="str">
        <f>IF(AO95=1,"Very Low",IF(AO95=2,"Very Low",IF(AO95=3,"Very Low",IF(AO95=4,"Very Low",IF(AO95=5,"Very Low",IF(AO95=6,"Very Low",IF(AO95=8,"Low",IF(AO95=9,"Low",IF(AO95=10,"Medium",IF(AO95=12,"Medium",IF(AO95=15,"High",IF(AO95=16,"High",IF(AO95=20,"Very High",IF(AO95=25,"Very High",))))))))))))))</f>
        <v>Very Low</v>
      </c>
      <c r="AQ95" s="78" t="s">
        <v>89</v>
      </c>
      <c r="AR95" s="58" t="s">
        <v>890</v>
      </c>
      <c r="AS95" s="78" t="s">
        <v>590</v>
      </c>
      <c r="AT95" s="124" t="s">
        <v>870</v>
      </c>
      <c r="AU95" s="53" t="s">
        <v>102</v>
      </c>
      <c r="AV95" s="52">
        <v>45721</v>
      </c>
      <c r="AW95" s="93" t="s">
        <v>822</v>
      </c>
    </row>
    <row r="96" spans="1:49" s="32" customFormat="1" ht="60" x14ac:dyDescent="0.2">
      <c r="A96" s="49">
        <v>94</v>
      </c>
      <c r="B96" s="84" t="s">
        <v>891</v>
      </c>
      <c r="C96" s="49" t="s">
        <v>164</v>
      </c>
      <c r="D96" s="74" t="s">
        <v>226</v>
      </c>
      <c r="E96" s="74" t="s">
        <v>892</v>
      </c>
      <c r="F96" s="58" t="s">
        <v>812</v>
      </c>
      <c r="G96" s="57" t="s">
        <v>566</v>
      </c>
      <c r="H96" s="58" t="s">
        <v>873</v>
      </c>
      <c r="I96" s="74" t="s">
        <v>893</v>
      </c>
      <c r="J96" s="58" t="s">
        <v>894</v>
      </c>
      <c r="K96" s="58" t="s">
        <v>895</v>
      </c>
      <c r="L96" s="74" t="s">
        <v>896</v>
      </c>
      <c r="M96" s="74" t="s">
        <v>897</v>
      </c>
      <c r="N96" s="74" t="s">
        <v>846</v>
      </c>
      <c r="O96" s="74" t="s">
        <v>85</v>
      </c>
      <c r="P96" s="57" t="s">
        <v>86</v>
      </c>
      <c r="Q96" s="74" t="s">
        <v>898</v>
      </c>
      <c r="R96" s="74">
        <v>4</v>
      </c>
      <c r="S96" s="74">
        <v>3</v>
      </c>
      <c r="T96" s="74">
        <v>3</v>
      </c>
      <c r="U96" s="74" t="s">
        <v>818</v>
      </c>
      <c r="V96" s="74" t="s">
        <v>818</v>
      </c>
      <c r="W96" s="74">
        <v>4</v>
      </c>
      <c r="X96" s="74" t="s">
        <v>818</v>
      </c>
      <c r="Y96" s="74" t="s">
        <v>818</v>
      </c>
      <c r="Z96" s="74">
        <v>1</v>
      </c>
      <c r="AA96" s="121">
        <v>4</v>
      </c>
      <c r="AB96" s="111" t="s">
        <v>87</v>
      </c>
      <c r="AC96" s="74">
        <v>3</v>
      </c>
      <c r="AD96" s="111" t="s">
        <v>109</v>
      </c>
      <c r="AE96" s="101">
        <f t="shared" si="20"/>
        <v>12</v>
      </c>
      <c r="AF96" s="102" t="str">
        <f t="shared" si="25"/>
        <v>Medium</v>
      </c>
      <c r="AG96" s="91" t="s">
        <v>150</v>
      </c>
      <c r="AH96" s="77">
        <v>2</v>
      </c>
      <c r="AI96" s="74"/>
      <c r="AJ96" s="76"/>
      <c r="AK96" s="76"/>
      <c r="AL96" s="104" t="str">
        <f t="shared" si="26"/>
        <v>Low</v>
      </c>
      <c r="AM96" s="77">
        <v>1</v>
      </c>
      <c r="AN96" s="112"/>
      <c r="AO96" s="106">
        <v>2</v>
      </c>
      <c r="AP96" s="101" t="s">
        <v>295</v>
      </c>
      <c r="AQ96" s="78" t="s">
        <v>89</v>
      </c>
      <c r="AR96" s="58" t="s">
        <v>899</v>
      </c>
      <c r="AS96" s="78" t="s">
        <v>895</v>
      </c>
      <c r="AT96" s="124" t="s">
        <v>870</v>
      </c>
      <c r="AU96" s="53" t="s">
        <v>102</v>
      </c>
      <c r="AV96" s="52">
        <v>45721</v>
      </c>
      <c r="AW96" s="93" t="s">
        <v>822</v>
      </c>
    </row>
    <row r="97" spans="1:49" s="32" customFormat="1" ht="105" x14ac:dyDescent="0.2">
      <c r="A97" s="49">
        <v>95</v>
      </c>
      <c r="B97" s="84" t="s">
        <v>900</v>
      </c>
      <c r="C97" s="49" t="s">
        <v>18</v>
      </c>
      <c r="D97" s="74" t="s">
        <v>226</v>
      </c>
      <c r="E97" s="74" t="s">
        <v>901</v>
      </c>
      <c r="F97" s="58" t="s">
        <v>812</v>
      </c>
      <c r="G97" s="57" t="s">
        <v>566</v>
      </c>
      <c r="H97" s="58" t="s">
        <v>873</v>
      </c>
      <c r="I97" s="74" t="s">
        <v>902</v>
      </c>
      <c r="J97" s="58" t="s">
        <v>590</v>
      </c>
      <c r="K97" s="58" t="s">
        <v>843</v>
      </c>
      <c r="L97" s="74" t="s">
        <v>903</v>
      </c>
      <c r="M97" s="74" t="s">
        <v>904</v>
      </c>
      <c r="N97" s="74" t="s">
        <v>608</v>
      </c>
      <c r="O97" s="74" t="s">
        <v>85</v>
      </c>
      <c r="P97" s="57" t="s">
        <v>86</v>
      </c>
      <c r="Q97" s="74" t="s">
        <v>905</v>
      </c>
      <c r="R97" s="74">
        <v>2</v>
      </c>
      <c r="S97" s="74">
        <v>2</v>
      </c>
      <c r="T97" s="74">
        <v>3</v>
      </c>
      <c r="U97" s="74" t="s">
        <v>822</v>
      </c>
      <c r="V97" s="74" t="s">
        <v>822</v>
      </c>
      <c r="W97" s="74" t="s">
        <v>822</v>
      </c>
      <c r="X97" s="74" t="s">
        <v>822</v>
      </c>
      <c r="Y97" s="74" t="s">
        <v>822</v>
      </c>
      <c r="Z97" s="74" t="s">
        <v>822</v>
      </c>
      <c r="AA97" s="121">
        <v>3</v>
      </c>
      <c r="AB97" s="111" t="s">
        <v>109</v>
      </c>
      <c r="AC97" s="74">
        <v>1</v>
      </c>
      <c r="AD97" s="111" t="s">
        <v>295</v>
      </c>
      <c r="AE97" s="101">
        <f t="shared" si="20"/>
        <v>3</v>
      </c>
      <c r="AF97" s="102" t="str">
        <f t="shared" si="25"/>
        <v>Very Low</v>
      </c>
      <c r="AG97" s="91" t="s">
        <v>150</v>
      </c>
      <c r="AH97" s="77">
        <v>1</v>
      </c>
      <c r="AI97" s="74"/>
      <c r="AJ97" s="76"/>
      <c r="AK97" s="76"/>
      <c r="AL97" s="104" t="str">
        <f t="shared" si="26"/>
        <v>Very Low</v>
      </c>
      <c r="AM97" s="77">
        <v>1</v>
      </c>
      <c r="AN97" s="112"/>
      <c r="AO97" s="106">
        <v>1</v>
      </c>
      <c r="AP97" s="104" t="str">
        <f>IF(AO97=1,"Very Low",IF(AO97=2,"Very Low",IF(AO97=3,"Very Low",IF(AO97=4,"Very Low",IF(AO97=5,"Very Low",IF(AO97=6,"Very Low",IF(AO97=8,"Low",IF(AO97=9,"Low",IF(AO97=10,"Medium",IF(AO97=12,"Medium",IF(AO97=15,"High",IF(AO97=16,"High",IF(AO97=20,"Very High",IF(AO97=25,"Very High",))))))))))))))</f>
        <v>Very Low</v>
      </c>
      <c r="AQ97" s="78" t="s">
        <v>629</v>
      </c>
      <c r="AR97" s="58" t="s">
        <v>906</v>
      </c>
      <c r="AS97" s="58" t="s">
        <v>907</v>
      </c>
      <c r="AT97" s="124" t="s">
        <v>870</v>
      </c>
      <c r="AU97" s="53" t="s">
        <v>102</v>
      </c>
      <c r="AV97" s="52">
        <v>45721</v>
      </c>
      <c r="AW97" s="93" t="s">
        <v>822</v>
      </c>
    </row>
    <row r="98" spans="1:49" s="32" customFormat="1" ht="90" x14ac:dyDescent="0.2">
      <c r="A98" s="49">
        <v>96</v>
      </c>
      <c r="B98" s="84" t="s">
        <v>908</v>
      </c>
      <c r="C98" s="49" t="s">
        <v>18</v>
      </c>
      <c r="D98" s="74" t="s">
        <v>20</v>
      </c>
      <c r="E98" s="74" t="s">
        <v>143</v>
      </c>
      <c r="F98" s="58" t="s">
        <v>812</v>
      </c>
      <c r="G98" s="57" t="s">
        <v>566</v>
      </c>
      <c r="H98" s="74" t="s">
        <v>873</v>
      </c>
      <c r="I98" s="74" t="s">
        <v>909</v>
      </c>
      <c r="J98" s="58" t="s">
        <v>590</v>
      </c>
      <c r="K98" s="90" t="s">
        <v>910</v>
      </c>
      <c r="L98" s="74" t="s">
        <v>911</v>
      </c>
      <c r="M98" s="74" t="s">
        <v>912</v>
      </c>
      <c r="N98" s="58" t="s">
        <v>752</v>
      </c>
      <c r="O98" s="74" t="s">
        <v>85</v>
      </c>
      <c r="P98" s="57" t="s">
        <v>86</v>
      </c>
      <c r="Q98" s="74" t="s">
        <v>913</v>
      </c>
      <c r="R98" s="74" t="s">
        <v>818</v>
      </c>
      <c r="S98" s="74">
        <v>1</v>
      </c>
      <c r="T98" s="74">
        <v>1</v>
      </c>
      <c r="U98" s="74">
        <v>3</v>
      </c>
      <c r="V98" s="74">
        <v>2</v>
      </c>
      <c r="W98" s="74" t="s">
        <v>818</v>
      </c>
      <c r="X98" s="74" t="s">
        <v>818</v>
      </c>
      <c r="Y98" s="74" t="s">
        <v>818</v>
      </c>
      <c r="Z98" s="74">
        <v>1</v>
      </c>
      <c r="AA98" s="121">
        <v>3</v>
      </c>
      <c r="AB98" s="111" t="s">
        <v>109</v>
      </c>
      <c r="AC98" s="74">
        <v>2</v>
      </c>
      <c r="AD98" s="111" t="s">
        <v>118</v>
      </c>
      <c r="AE98" s="101">
        <f t="shared" si="20"/>
        <v>6</v>
      </c>
      <c r="AF98" s="102" t="str">
        <f t="shared" si="25"/>
        <v>Very Low</v>
      </c>
      <c r="AG98" s="91" t="s">
        <v>150</v>
      </c>
      <c r="AH98" s="77">
        <v>3</v>
      </c>
      <c r="AI98" s="74"/>
      <c r="AJ98" s="76"/>
      <c r="AK98" s="76"/>
      <c r="AL98" s="104" t="str">
        <f t="shared" si="26"/>
        <v>Medium</v>
      </c>
      <c r="AM98" s="77">
        <v>1</v>
      </c>
      <c r="AN98" s="112"/>
      <c r="AO98" s="106">
        <v>3</v>
      </c>
      <c r="AP98" s="101" t="s">
        <v>295</v>
      </c>
      <c r="AQ98" s="78" t="s">
        <v>89</v>
      </c>
      <c r="AR98" s="58" t="s">
        <v>914</v>
      </c>
      <c r="AS98" s="58" t="s">
        <v>915</v>
      </c>
      <c r="AT98" s="124" t="s">
        <v>870</v>
      </c>
      <c r="AU98" s="53" t="s">
        <v>102</v>
      </c>
      <c r="AV98" s="52">
        <v>45721</v>
      </c>
      <c r="AW98" s="93" t="s">
        <v>822</v>
      </c>
    </row>
    <row r="99" spans="1:49" s="32" customFormat="1" ht="105" x14ac:dyDescent="0.2">
      <c r="A99" s="49">
        <v>97</v>
      </c>
      <c r="B99" s="84" t="s">
        <v>916</v>
      </c>
      <c r="C99" s="49" t="s">
        <v>18</v>
      </c>
      <c r="D99" s="74" t="s">
        <v>226</v>
      </c>
      <c r="E99" s="74" t="s">
        <v>335</v>
      </c>
      <c r="F99" s="58" t="s">
        <v>917</v>
      </c>
      <c r="G99" s="57" t="s">
        <v>566</v>
      </c>
      <c r="H99" s="58" t="s">
        <v>918</v>
      </c>
      <c r="I99" s="74" t="s">
        <v>919</v>
      </c>
      <c r="J99" s="58" t="s">
        <v>920</v>
      </c>
      <c r="K99" s="58" t="s">
        <v>921</v>
      </c>
      <c r="L99" s="74" t="s">
        <v>922</v>
      </c>
      <c r="M99" s="74" t="s">
        <v>923</v>
      </c>
      <c r="N99" s="74" t="s">
        <v>924</v>
      </c>
      <c r="O99" s="74" t="s">
        <v>85</v>
      </c>
      <c r="P99" s="57" t="s">
        <v>86</v>
      </c>
      <c r="Q99" s="74" t="s">
        <v>925</v>
      </c>
      <c r="R99" s="74">
        <v>3</v>
      </c>
      <c r="S99" s="74">
        <v>2</v>
      </c>
      <c r="T99" s="74">
        <v>2</v>
      </c>
      <c r="U99" s="74"/>
      <c r="V99" s="74"/>
      <c r="W99" s="74"/>
      <c r="X99" s="74"/>
      <c r="Y99" s="74"/>
      <c r="Z99" s="74"/>
      <c r="AA99" s="121">
        <f t="shared" ref="AA99:AA114" si="27">MAX(R99:Z99)</f>
        <v>3</v>
      </c>
      <c r="AB99" s="111" t="s">
        <v>109</v>
      </c>
      <c r="AC99" s="74">
        <v>3</v>
      </c>
      <c r="AD99" s="111" t="str">
        <f t="shared" ref="AD99:AD114" si="28">IF(AC99=1,"Very Low",IF(AC99=2,"Low",IF(AC99=3,"Medium",IF(AC99=4,"High",IF(AC99=5,"Very High",)))))</f>
        <v>Medium</v>
      </c>
      <c r="AE99" s="101">
        <f t="shared" si="20"/>
        <v>9</v>
      </c>
      <c r="AF99" s="102" t="str">
        <f t="shared" si="25"/>
        <v>Low</v>
      </c>
      <c r="AG99" s="91" t="s">
        <v>88</v>
      </c>
      <c r="AH99" s="77">
        <v>3</v>
      </c>
      <c r="AI99" s="74"/>
      <c r="AJ99" s="76"/>
      <c r="AK99" s="76"/>
      <c r="AL99" s="104" t="str">
        <f t="shared" si="26"/>
        <v>Medium</v>
      </c>
      <c r="AM99" s="77">
        <v>2</v>
      </c>
      <c r="AN99" s="112" t="str">
        <f t="shared" ref="AN99:AN114" si="29">IF(AM99=1,"Very Low",IF(AM99=2,"Low",IF(AM99=3,"Medium",IF(AM99=4,"High",IF(AM99=5,"Very High",)))))</f>
        <v>Low</v>
      </c>
      <c r="AO99" s="106">
        <f t="shared" ref="AO99:AO114" si="30">AH99*AM99</f>
        <v>6</v>
      </c>
      <c r="AP99" s="104" t="str">
        <f t="shared" ref="AP99:AP114" si="31">IF(AO99=1,"Very Low",IF(AO99=2,"Very Low",IF(AO99=3,"Very Low",IF(AO99=4,"Very Low",IF(AO99=5,"Very Low",IF(AO99=6,"Very Low",IF(AO99=8,"Low",IF(AO99=9,"Low",IF(AO99=10,"Medium",IF(AO99=12,"Medium",IF(AO99=15,"High",IF(AO99=16,"High",IF(AO99=20,"Very High",IF(AO99=25,"Very High",))))))))))))))</f>
        <v>Very Low</v>
      </c>
      <c r="AQ99" s="78" t="s">
        <v>515</v>
      </c>
      <c r="AR99" s="58" t="s">
        <v>926</v>
      </c>
      <c r="AS99" s="78" t="s">
        <v>927</v>
      </c>
      <c r="AT99" s="147">
        <v>46022</v>
      </c>
      <c r="AU99" s="53" t="s">
        <v>140</v>
      </c>
      <c r="AV99" s="52">
        <v>45720</v>
      </c>
      <c r="AW99" s="93" t="s">
        <v>928</v>
      </c>
    </row>
    <row r="100" spans="1:49" s="32" customFormat="1" ht="105" x14ac:dyDescent="0.2">
      <c r="A100" s="49">
        <v>98</v>
      </c>
      <c r="B100" s="84" t="s">
        <v>929</v>
      </c>
      <c r="C100" s="49" t="s">
        <v>18</v>
      </c>
      <c r="D100" s="49" t="s">
        <v>226</v>
      </c>
      <c r="E100" s="95" t="s">
        <v>930</v>
      </c>
      <c r="F100" s="57" t="s">
        <v>931</v>
      </c>
      <c r="G100" s="57" t="s">
        <v>566</v>
      </c>
      <c r="H100" s="95" t="s">
        <v>932</v>
      </c>
      <c r="I100" s="95" t="s">
        <v>933</v>
      </c>
      <c r="J100" s="57" t="s">
        <v>920</v>
      </c>
      <c r="K100" s="95" t="s">
        <v>934</v>
      </c>
      <c r="L100" s="95" t="s">
        <v>935</v>
      </c>
      <c r="M100" s="95" t="s">
        <v>936</v>
      </c>
      <c r="N100" s="95" t="s">
        <v>937</v>
      </c>
      <c r="O100" s="49" t="s">
        <v>85</v>
      </c>
      <c r="P100" s="57" t="s">
        <v>86</v>
      </c>
      <c r="Q100" s="95" t="s">
        <v>938</v>
      </c>
      <c r="R100" s="96">
        <v>2</v>
      </c>
      <c r="S100" s="96">
        <v>2</v>
      </c>
      <c r="T100" s="96">
        <v>2</v>
      </c>
      <c r="U100" s="49"/>
      <c r="V100" s="49"/>
      <c r="W100" s="49"/>
      <c r="X100" s="49"/>
      <c r="Y100" s="49"/>
      <c r="Z100" s="49"/>
      <c r="AA100" s="114">
        <f t="shared" si="27"/>
        <v>2</v>
      </c>
      <c r="AB100" s="101" t="s">
        <v>118</v>
      </c>
      <c r="AC100" s="49">
        <v>3</v>
      </c>
      <c r="AD100" s="101" t="str">
        <f t="shared" si="28"/>
        <v>Medium</v>
      </c>
      <c r="AE100" s="101">
        <f t="shared" si="20"/>
        <v>6</v>
      </c>
      <c r="AF100" s="102" t="str">
        <f t="shared" si="25"/>
        <v>Very Low</v>
      </c>
      <c r="AG100" s="50" t="s">
        <v>88</v>
      </c>
      <c r="AH100" s="51">
        <v>2</v>
      </c>
      <c r="AI100" s="137"/>
      <c r="AJ100" s="49"/>
      <c r="AK100" s="49"/>
      <c r="AL100" s="101" t="str">
        <f t="shared" si="26"/>
        <v>Low</v>
      </c>
      <c r="AM100" s="49">
        <v>2</v>
      </c>
      <c r="AN100" s="101" t="str">
        <f t="shared" si="29"/>
        <v>Low</v>
      </c>
      <c r="AO100" s="101">
        <f t="shared" si="30"/>
        <v>4</v>
      </c>
      <c r="AP100" s="101" t="str">
        <f t="shared" si="31"/>
        <v>Very Low</v>
      </c>
      <c r="AQ100" s="49" t="s">
        <v>515</v>
      </c>
      <c r="AR100" s="49" t="s">
        <v>939</v>
      </c>
      <c r="AS100" s="49" t="s">
        <v>927</v>
      </c>
      <c r="AT100" s="55">
        <v>45991</v>
      </c>
      <c r="AU100" s="53" t="s">
        <v>140</v>
      </c>
      <c r="AV100" s="52">
        <v>45721</v>
      </c>
      <c r="AW100" s="54"/>
    </row>
    <row r="101" spans="1:49" s="32" customFormat="1" ht="75" x14ac:dyDescent="0.2">
      <c r="A101" s="49">
        <v>99</v>
      </c>
      <c r="B101" s="84" t="s">
        <v>940</v>
      </c>
      <c r="C101" s="49" t="s">
        <v>18</v>
      </c>
      <c r="D101" s="49" t="s">
        <v>226</v>
      </c>
      <c r="E101" s="95" t="s">
        <v>335</v>
      </c>
      <c r="F101" s="57" t="s">
        <v>931</v>
      </c>
      <c r="G101" s="57" t="s">
        <v>566</v>
      </c>
      <c r="H101" s="95" t="s">
        <v>941</v>
      </c>
      <c r="I101" s="95" t="s">
        <v>942</v>
      </c>
      <c r="J101" s="57" t="s">
        <v>920</v>
      </c>
      <c r="K101" s="95" t="s">
        <v>934</v>
      </c>
      <c r="L101" s="95" t="s">
        <v>935</v>
      </c>
      <c r="M101" s="95" t="s">
        <v>943</v>
      </c>
      <c r="N101" s="95" t="s">
        <v>937</v>
      </c>
      <c r="O101" s="49" t="s">
        <v>85</v>
      </c>
      <c r="P101" s="57" t="s">
        <v>86</v>
      </c>
      <c r="Q101" s="95" t="s">
        <v>938</v>
      </c>
      <c r="R101" s="96">
        <v>1</v>
      </c>
      <c r="S101" s="96">
        <v>2</v>
      </c>
      <c r="T101" s="96">
        <v>2</v>
      </c>
      <c r="U101" s="49"/>
      <c r="V101" s="49"/>
      <c r="W101" s="49"/>
      <c r="X101" s="49"/>
      <c r="Y101" s="49"/>
      <c r="Z101" s="49"/>
      <c r="AA101" s="114">
        <f t="shared" si="27"/>
        <v>2</v>
      </c>
      <c r="AB101" s="101" t="s">
        <v>118</v>
      </c>
      <c r="AC101" s="49">
        <v>1</v>
      </c>
      <c r="AD101" s="101" t="str">
        <f t="shared" si="28"/>
        <v>Very Low</v>
      </c>
      <c r="AE101" s="101">
        <f t="shared" si="20"/>
        <v>2</v>
      </c>
      <c r="AF101" s="102" t="str">
        <f t="shared" si="25"/>
        <v>Very Low</v>
      </c>
      <c r="AG101" s="50" t="s">
        <v>88</v>
      </c>
      <c r="AH101" s="51">
        <v>2</v>
      </c>
      <c r="AI101" s="137"/>
      <c r="AJ101" s="49"/>
      <c r="AK101" s="49"/>
      <c r="AL101" s="101" t="str">
        <f t="shared" si="26"/>
        <v>Low</v>
      </c>
      <c r="AM101" s="49">
        <v>2</v>
      </c>
      <c r="AN101" s="101" t="str">
        <f t="shared" si="29"/>
        <v>Low</v>
      </c>
      <c r="AO101" s="101">
        <f t="shared" si="30"/>
        <v>4</v>
      </c>
      <c r="AP101" s="101" t="str">
        <f t="shared" si="31"/>
        <v>Very Low</v>
      </c>
      <c r="AQ101" s="49" t="s">
        <v>515</v>
      </c>
      <c r="AR101" s="49" t="s">
        <v>939</v>
      </c>
      <c r="AS101" s="49" t="s">
        <v>927</v>
      </c>
      <c r="AT101" s="55">
        <v>45991</v>
      </c>
      <c r="AU101" s="53" t="s">
        <v>102</v>
      </c>
      <c r="AV101" s="52">
        <v>45721</v>
      </c>
      <c r="AW101" s="54"/>
    </row>
    <row r="102" spans="1:49" s="32" customFormat="1" ht="75" x14ac:dyDescent="0.2">
      <c r="A102" s="49">
        <v>100</v>
      </c>
      <c r="B102" s="84" t="s">
        <v>944</v>
      </c>
      <c r="C102" s="49" t="s">
        <v>18</v>
      </c>
      <c r="D102" s="49" t="s">
        <v>226</v>
      </c>
      <c r="E102" s="95" t="s">
        <v>335</v>
      </c>
      <c r="F102" s="57" t="s">
        <v>931</v>
      </c>
      <c r="G102" s="57" t="s">
        <v>566</v>
      </c>
      <c r="H102" s="95" t="s">
        <v>945</v>
      </c>
      <c r="I102" s="95" t="s">
        <v>946</v>
      </c>
      <c r="J102" s="57" t="s">
        <v>920</v>
      </c>
      <c r="K102" s="95" t="s">
        <v>934</v>
      </c>
      <c r="L102" s="97" t="s">
        <v>947</v>
      </c>
      <c r="M102" s="57" t="s">
        <v>948</v>
      </c>
      <c r="N102" s="95" t="s">
        <v>949</v>
      </c>
      <c r="O102" s="49" t="s">
        <v>85</v>
      </c>
      <c r="P102" s="57" t="s">
        <v>86</v>
      </c>
      <c r="Q102" s="95" t="s">
        <v>938</v>
      </c>
      <c r="R102" s="96">
        <v>3</v>
      </c>
      <c r="S102" s="96">
        <v>4</v>
      </c>
      <c r="T102" s="96">
        <v>5</v>
      </c>
      <c r="U102" s="49"/>
      <c r="V102" s="49"/>
      <c r="W102" s="49"/>
      <c r="X102" s="49"/>
      <c r="Y102" s="49"/>
      <c r="Z102" s="49"/>
      <c r="AA102" s="114">
        <f t="shared" si="27"/>
        <v>5</v>
      </c>
      <c r="AB102" s="101" t="s">
        <v>100</v>
      </c>
      <c r="AC102" s="49">
        <v>2</v>
      </c>
      <c r="AD102" s="101" t="str">
        <f t="shared" si="28"/>
        <v>Low</v>
      </c>
      <c r="AE102" s="101">
        <f t="shared" si="20"/>
        <v>10</v>
      </c>
      <c r="AF102" s="102" t="str">
        <f t="shared" si="25"/>
        <v>Medium</v>
      </c>
      <c r="AG102" s="50" t="s">
        <v>88</v>
      </c>
      <c r="AH102" s="51">
        <v>3</v>
      </c>
      <c r="AI102" s="137"/>
      <c r="AJ102" s="49"/>
      <c r="AK102" s="49"/>
      <c r="AL102" s="101" t="str">
        <f t="shared" si="26"/>
        <v>Medium</v>
      </c>
      <c r="AM102" s="49">
        <v>2</v>
      </c>
      <c r="AN102" s="101" t="str">
        <f t="shared" si="29"/>
        <v>Low</v>
      </c>
      <c r="AO102" s="101">
        <f t="shared" si="30"/>
        <v>6</v>
      </c>
      <c r="AP102" s="101" t="str">
        <f t="shared" si="31"/>
        <v>Very Low</v>
      </c>
      <c r="AQ102" s="49" t="s">
        <v>515</v>
      </c>
      <c r="AR102" s="49" t="s">
        <v>939</v>
      </c>
      <c r="AS102" s="49" t="s">
        <v>927</v>
      </c>
      <c r="AT102" s="55">
        <v>45991</v>
      </c>
      <c r="AU102" s="53" t="s">
        <v>102</v>
      </c>
      <c r="AV102" s="52">
        <v>45721</v>
      </c>
      <c r="AW102" s="54" t="s">
        <v>950</v>
      </c>
    </row>
    <row r="103" spans="1:49" s="32" customFormat="1" ht="105" x14ac:dyDescent="0.2">
      <c r="A103" s="49">
        <v>101</v>
      </c>
      <c r="B103" s="84" t="s">
        <v>951</v>
      </c>
      <c r="C103" s="49" t="s">
        <v>17</v>
      </c>
      <c r="D103" s="49" t="s">
        <v>17</v>
      </c>
      <c r="E103" s="95" t="s">
        <v>952</v>
      </c>
      <c r="F103" s="57" t="s">
        <v>917</v>
      </c>
      <c r="G103" s="57" t="s">
        <v>566</v>
      </c>
      <c r="H103" s="95" t="s">
        <v>953</v>
      </c>
      <c r="I103" s="95" t="s">
        <v>954</v>
      </c>
      <c r="J103" s="57" t="s">
        <v>920</v>
      </c>
      <c r="K103" s="95" t="s">
        <v>955</v>
      </c>
      <c r="L103" s="95" t="s">
        <v>956</v>
      </c>
      <c r="M103" s="57" t="s">
        <v>957</v>
      </c>
      <c r="N103" s="95" t="s">
        <v>958</v>
      </c>
      <c r="O103" s="49" t="s">
        <v>85</v>
      </c>
      <c r="P103" s="57" t="s">
        <v>86</v>
      </c>
      <c r="Q103" s="95" t="s">
        <v>959</v>
      </c>
      <c r="R103" s="96">
        <v>5</v>
      </c>
      <c r="S103" s="96"/>
      <c r="T103" s="96"/>
      <c r="U103" s="49"/>
      <c r="V103" s="49"/>
      <c r="W103" s="49"/>
      <c r="X103" s="49"/>
      <c r="Y103" s="49"/>
      <c r="Z103" s="49"/>
      <c r="AA103" s="114">
        <f t="shared" si="27"/>
        <v>5</v>
      </c>
      <c r="AB103" s="101" t="s">
        <v>100</v>
      </c>
      <c r="AC103" s="49">
        <v>5</v>
      </c>
      <c r="AD103" s="101" t="str">
        <f t="shared" si="28"/>
        <v>Very High</v>
      </c>
      <c r="AE103" s="101">
        <f t="shared" si="20"/>
        <v>25</v>
      </c>
      <c r="AF103" s="102" t="str">
        <f t="shared" si="25"/>
        <v>Very High</v>
      </c>
      <c r="AG103" s="50" t="s">
        <v>88</v>
      </c>
      <c r="AH103" s="51">
        <v>4</v>
      </c>
      <c r="AI103" s="137"/>
      <c r="AJ103" s="49"/>
      <c r="AK103" s="49"/>
      <c r="AL103" s="101" t="str">
        <f t="shared" si="26"/>
        <v>High</v>
      </c>
      <c r="AM103" s="49">
        <v>4</v>
      </c>
      <c r="AN103" s="101" t="str">
        <f t="shared" si="29"/>
        <v>High</v>
      </c>
      <c r="AO103" s="101">
        <f t="shared" si="30"/>
        <v>16</v>
      </c>
      <c r="AP103" s="101" t="str">
        <f t="shared" si="31"/>
        <v>High</v>
      </c>
      <c r="AQ103" s="49" t="s">
        <v>515</v>
      </c>
      <c r="AR103" s="49" t="s">
        <v>960</v>
      </c>
      <c r="AS103" s="49" t="s">
        <v>961</v>
      </c>
      <c r="AT103" s="147">
        <v>46022</v>
      </c>
      <c r="AU103" s="53" t="s">
        <v>102</v>
      </c>
      <c r="AV103" s="52">
        <v>45720</v>
      </c>
      <c r="AW103" s="143" t="s">
        <v>962</v>
      </c>
    </row>
    <row r="104" spans="1:49" s="32" customFormat="1" ht="150" x14ac:dyDescent="0.2">
      <c r="A104" s="49">
        <v>102</v>
      </c>
      <c r="B104" s="84" t="s">
        <v>963</v>
      </c>
      <c r="C104" s="49" t="s">
        <v>18</v>
      </c>
      <c r="D104" s="49" t="s">
        <v>185</v>
      </c>
      <c r="E104" s="95" t="s">
        <v>186</v>
      </c>
      <c r="F104" s="57" t="s">
        <v>917</v>
      </c>
      <c r="G104" s="57" t="s">
        <v>566</v>
      </c>
      <c r="H104" s="95" t="s">
        <v>964</v>
      </c>
      <c r="I104" s="95" t="s">
        <v>965</v>
      </c>
      <c r="J104" s="57" t="s">
        <v>920</v>
      </c>
      <c r="K104" s="95" t="s">
        <v>955</v>
      </c>
      <c r="L104" s="95" t="s">
        <v>966</v>
      </c>
      <c r="M104" s="57" t="s">
        <v>967</v>
      </c>
      <c r="N104" s="95"/>
      <c r="O104" s="49" t="s">
        <v>85</v>
      </c>
      <c r="P104" s="57" t="s">
        <v>86</v>
      </c>
      <c r="Q104" s="95" t="s">
        <v>968</v>
      </c>
      <c r="R104" s="96"/>
      <c r="S104" s="96"/>
      <c r="T104" s="96"/>
      <c r="U104" s="49">
        <v>3</v>
      </c>
      <c r="V104" s="49">
        <v>3</v>
      </c>
      <c r="W104" s="49"/>
      <c r="X104" s="49"/>
      <c r="Y104" s="49"/>
      <c r="Z104" s="49"/>
      <c r="AA104" s="114">
        <f t="shared" si="27"/>
        <v>3</v>
      </c>
      <c r="AB104" s="101" t="s">
        <v>109</v>
      </c>
      <c r="AC104" s="49">
        <v>5</v>
      </c>
      <c r="AD104" s="101" t="str">
        <f t="shared" si="28"/>
        <v>Very High</v>
      </c>
      <c r="AE104" s="101">
        <f t="shared" si="20"/>
        <v>15</v>
      </c>
      <c r="AF104" s="102" t="str">
        <f t="shared" si="25"/>
        <v>High</v>
      </c>
      <c r="AG104" s="50" t="s">
        <v>88</v>
      </c>
      <c r="AH104" s="51">
        <v>3</v>
      </c>
      <c r="AI104" s="137"/>
      <c r="AJ104" s="49"/>
      <c r="AK104" s="49"/>
      <c r="AL104" s="101" t="str">
        <f t="shared" si="26"/>
        <v>Medium</v>
      </c>
      <c r="AM104" s="49">
        <v>4</v>
      </c>
      <c r="AN104" s="101" t="str">
        <f t="shared" si="29"/>
        <v>High</v>
      </c>
      <c r="AO104" s="101">
        <f t="shared" si="30"/>
        <v>12</v>
      </c>
      <c r="AP104" s="101" t="str">
        <f t="shared" si="31"/>
        <v>Medium</v>
      </c>
      <c r="AQ104" s="49" t="s">
        <v>515</v>
      </c>
      <c r="AR104" s="131" t="s">
        <v>969</v>
      </c>
      <c r="AS104" s="49" t="s">
        <v>927</v>
      </c>
      <c r="AT104" s="147">
        <v>46022</v>
      </c>
      <c r="AU104" s="53" t="s">
        <v>102</v>
      </c>
      <c r="AV104" s="52">
        <v>45720</v>
      </c>
      <c r="AW104" s="143" t="s">
        <v>970</v>
      </c>
    </row>
    <row r="105" spans="1:49" s="32" customFormat="1" ht="75" x14ac:dyDescent="0.2">
      <c r="A105" s="49">
        <v>103</v>
      </c>
      <c r="B105" s="84" t="s">
        <v>971</v>
      </c>
      <c r="C105" s="49" t="s">
        <v>164</v>
      </c>
      <c r="D105" s="49" t="s">
        <v>185</v>
      </c>
      <c r="E105" s="95" t="s">
        <v>972</v>
      </c>
      <c r="F105" s="57" t="s">
        <v>917</v>
      </c>
      <c r="G105" s="57" t="s">
        <v>566</v>
      </c>
      <c r="H105" s="95" t="s">
        <v>973</v>
      </c>
      <c r="I105" s="95" t="s">
        <v>974</v>
      </c>
      <c r="J105" s="57" t="s">
        <v>583</v>
      </c>
      <c r="K105" s="95" t="s">
        <v>975</v>
      </c>
      <c r="L105" s="98" t="s">
        <v>976</v>
      </c>
      <c r="M105" s="95" t="s">
        <v>977</v>
      </c>
      <c r="N105" s="49"/>
      <c r="O105" s="49" t="s">
        <v>180</v>
      </c>
      <c r="P105" s="57" t="s">
        <v>86</v>
      </c>
      <c r="Q105" s="95" t="s">
        <v>978</v>
      </c>
      <c r="R105" s="96"/>
      <c r="S105" s="96"/>
      <c r="T105" s="96"/>
      <c r="U105" s="49"/>
      <c r="V105" s="49">
        <v>2</v>
      </c>
      <c r="W105" s="49"/>
      <c r="X105" s="49">
        <v>3</v>
      </c>
      <c r="Y105" s="49"/>
      <c r="Z105" s="49"/>
      <c r="AA105" s="114">
        <f t="shared" si="27"/>
        <v>3</v>
      </c>
      <c r="AB105" s="101" t="s">
        <v>109</v>
      </c>
      <c r="AC105" s="49">
        <v>5</v>
      </c>
      <c r="AD105" s="101" t="str">
        <f t="shared" si="28"/>
        <v>Very High</v>
      </c>
      <c r="AE105" s="101">
        <f t="shared" si="20"/>
        <v>15</v>
      </c>
      <c r="AF105" s="102" t="str">
        <f t="shared" si="25"/>
        <v>High</v>
      </c>
      <c r="AG105" s="50" t="s">
        <v>88</v>
      </c>
      <c r="AH105" s="51">
        <v>3</v>
      </c>
      <c r="AI105" s="137"/>
      <c r="AJ105" s="49"/>
      <c r="AK105" s="49"/>
      <c r="AL105" s="101" t="str">
        <f t="shared" si="26"/>
        <v>Medium</v>
      </c>
      <c r="AM105" s="49">
        <v>3</v>
      </c>
      <c r="AN105" s="101" t="str">
        <f t="shared" si="29"/>
        <v>Medium</v>
      </c>
      <c r="AO105" s="101">
        <f t="shared" si="30"/>
        <v>9</v>
      </c>
      <c r="AP105" s="101" t="str">
        <f t="shared" si="31"/>
        <v>Low</v>
      </c>
      <c r="AQ105" s="49" t="s">
        <v>515</v>
      </c>
      <c r="AR105" s="49" t="s">
        <v>979</v>
      </c>
      <c r="AS105" s="49" t="s">
        <v>927</v>
      </c>
      <c r="AT105" s="147">
        <v>46022</v>
      </c>
      <c r="AU105" s="53" t="s">
        <v>102</v>
      </c>
      <c r="AV105" s="52">
        <v>45720</v>
      </c>
      <c r="AW105" s="143" t="s">
        <v>980</v>
      </c>
    </row>
    <row r="106" spans="1:49" s="32" customFormat="1" ht="60" x14ac:dyDescent="0.2">
      <c r="A106" s="49">
        <v>104</v>
      </c>
      <c r="B106" s="84" t="s">
        <v>981</v>
      </c>
      <c r="C106" s="49" t="s">
        <v>18</v>
      </c>
      <c r="D106" s="49" t="s">
        <v>198</v>
      </c>
      <c r="E106" s="95" t="s">
        <v>824</v>
      </c>
      <c r="F106" s="57" t="s">
        <v>931</v>
      </c>
      <c r="G106" s="57" t="s">
        <v>566</v>
      </c>
      <c r="H106" s="95" t="s">
        <v>613</v>
      </c>
      <c r="I106" s="95" t="s">
        <v>982</v>
      </c>
      <c r="J106" s="57" t="s">
        <v>983</v>
      </c>
      <c r="K106" s="95" t="s">
        <v>984</v>
      </c>
      <c r="L106" s="95" t="s">
        <v>985</v>
      </c>
      <c r="M106" s="95" t="s">
        <v>986</v>
      </c>
      <c r="N106" s="49" t="s">
        <v>987</v>
      </c>
      <c r="O106" s="49" t="s">
        <v>988</v>
      </c>
      <c r="P106" s="57" t="s">
        <v>86</v>
      </c>
      <c r="Q106" s="95"/>
      <c r="R106" s="96">
        <v>2</v>
      </c>
      <c r="S106" s="96">
        <v>3</v>
      </c>
      <c r="T106" s="96"/>
      <c r="U106" s="49">
        <v>2</v>
      </c>
      <c r="V106" s="49"/>
      <c r="W106" s="49"/>
      <c r="X106" s="49"/>
      <c r="Y106" s="49"/>
      <c r="Z106" s="49"/>
      <c r="AA106" s="114">
        <f t="shared" si="27"/>
        <v>3</v>
      </c>
      <c r="AB106" s="101" t="s">
        <v>109</v>
      </c>
      <c r="AC106" s="49">
        <v>3</v>
      </c>
      <c r="AD106" s="101" t="str">
        <f t="shared" si="28"/>
        <v>Medium</v>
      </c>
      <c r="AE106" s="101">
        <f t="shared" si="20"/>
        <v>9</v>
      </c>
      <c r="AF106" s="102" t="str">
        <f t="shared" si="25"/>
        <v>Low</v>
      </c>
      <c r="AG106" s="50" t="s">
        <v>88</v>
      </c>
      <c r="AH106" s="51">
        <v>2</v>
      </c>
      <c r="AI106" s="137"/>
      <c r="AJ106" s="49"/>
      <c r="AK106" s="49"/>
      <c r="AL106" s="101" t="str">
        <f t="shared" si="26"/>
        <v>Low</v>
      </c>
      <c r="AM106" s="49">
        <v>2</v>
      </c>
      <c r="AN106" s="101" t="str">
        <f t="shared" si="29"/>
        <v>Low</v>
      </c>
      <c r="AO106" s="101">
        <f t="shared" si="30"/>
        <v>4</v>
      </c>
      <c r="AP106" s="101" t="str">
        <f t="shared" si="31"/>
        <v>Very Low</v>
      </c>
      <c r="AQ106" s="49" t="s">
        <v>515</v>
      </c>
      <c r="AR106" s="49" t="s">
        <v>989</v>
      </c>
      <c r="AS106" s="49" t="s">
        <v>990</v>
      </c>
      <c r="AT106" s="55">
        <v>45991</v>
      </c>
      <c r="AU106" s="53" t="s">
        <v>102</v>
      </c>
      <c r="AV106" s="52">
        <v>45721</v>
      </c>
      <c r="AW106" s="54"/>
    </row>
    <row r="107" spans="1:49" s="32" customFormat="1" ht="150" x14ac:dyDescent="0.2">
      <c r="A107" s="49">
        <v>105</v>
      </c>
      <c r="B107" s="84" t="s">
        <v>991</v>
      </c>
      <c r="C107" s="49" t="s">
        <v>25</v>
      </c>
      <c r="D107" s="49" t="s">
        <v>25</v>
      </c>
      <c r="E107" s="57" t="s">
        <v>307</v>
      </c>
      <c r="F107" s="66" t="s">
        <v>992</v>
      </c>
      <c r="G107" s="57" t="s">
        <v>992</v>
      </c>
      <c r="H107" s="66" t="s">
        <v>993</v>
      </c>
      <c r="I107" s="99" t="s">
        <v>994</v>
      </c>
      <c r="J107" s="66" t="s">
        <v>995</v>
      </c>
      <c r="K107" s="66" t="s">
        <v>995</v>
      </c>
      <c r="L107" s="99" t="s">
        <v>996</v>
      </c>
      <c r="M107" s="95"/>
      <c r="N107" s="95"/>
      <c r="O107" s="49" t="s">
        <v>85</v>
      </c>
      <c r="P107" s="57"/>
      <c r="Q107" s="49"/>
      <c r="R107" s="96"/>
      <c r="S107" s="96"/>
      <c r="T107" s="96"/>
      <c r="U107" s="49"/>
      <c r="V107" s="49"/>
      <c r="W107" s="49"/>
      <c r="X107" s="49"/>
      <c r="Y107" s="49"/>
      <c r="Z107" s="49">
        <v>5</v>
      </c>
      <c r="AA107" s="114">
        <f t="shared" si="27"/>
        <v>5</v>
      </c>
      <c r="AB107" s="101" t="s">
        <v>100</v>
      </c>
      <c r="AC107" s="49">
        <v>3</v>
      </c>
      <c r="AD107" s="101" t="str">
        <f t="shared" si="28"/>
        <v>Medium</v>
      </c>
      <c r="AE107" s="101">
        <f t="shared" si="20"/>
        <v>15</v>
      </c>
      <c r="AF107" s="102" t="str">
        <f t="shared" si="25"/>
        <v>High</v>
      </c>
      <c r="AG107" s="50" t="s">
        <v>88</v>
      </c>
      <c r="AH107" s="51">
        <v>3</v>
      </c>
      <c r="AI107" s="137"/>
      <c r="AJ107" s="49"/>
      <c r="AK107" s="49"/>
      <c r="AL107" s="101" t="str">
        <f t="shared" si="26"/>
        <v>Medium</v>
      </c>
      <c r="AM107" s="49">
        <v>3</v>
      </c>
      <c r="AN107" s="101" t="str">
        <f t="shared" si="29"/>
        <v>Medium</v>
      </c>
      <c r="AO107" s="101">
        <f t="shared" si="30"/>
        <v>9</v>
      </c>
      <c r="AP107" s="101" t="str">
        <f t="shared" si="31"/>
        <v>Low</v>
      </c>
      <c r="AQ107" s="49" t="s">
        <v>89</v>
      </c>
      <c r="AR107" s="49" t="s">
        <v>997</v>
      </c>
      <c r="AS107" s="49" t="s">
        <v>995</v>
      </c>
      <c r="AT107" s="147">
        <v>45657</v>
      </c>
      <c r="AU107" s="53" t="s">
        <v>140</v>
      </c>
      <c r="AV107" s="52">
        <v>45718</v>
      </c>
      <c r="AW107" s="54"/>
    </row>
    <row r="108" spans="1:49" s="32" customFormat="1" ht="60" x14ac:dyDescent="0.2">
      <c r="A108" s="49">
        <v>106</v>
      </c>
      <c r="B108" s="84" t="s">
        <v>998</v>
      </c>
      <c r="C108" s="49" t="s">
        <v>25</v>
      </c>
      <c r="D108" s="49" t="s">
        <v>25</v>
      </c>
      <c r="E108" s="49" t="s">
        <v>307</v>
      </c>
      <c r="F108" s="49" t="s">
        <v>992</v>
      </c>
      <c r="G108" s="49" t="s">
        <v>992</v>
      </c>
      <c r="H108" s="49" t="s">
        <v>999</v>
      </c>
      <c r="I108" s="49" t="s">
        <v>1000</v>
      </c>
      <c r="J108" s="49" t="s">
        <v>995</v>
      </c>
      <c r="K108" s="49" t="s">
        <v>995</v>
      </c>
      <c r="L108" s="49" t="s">
        <v>1001</v>
      </c>
      <c r="M108" s="49"/>
      <c r="N108" s="49"/>
      <c r="O108" s="49" t="s">
        <v>85</v>
      </c>
      <c r="P108" s="49"/>
      <c r="Q108" s="49"/>
      <c r="R108" s="49"/>
      <c r="S108" s="49"/>
      <c r="T108" s="49"/>
      <c r="U108" s="49"/>
      <c r="V108" s="49"/>
      <c r="W108" s="49"/>
      <c r="X108" s="49"/>
      <c r="Y108" s="49"/>
      <c r="Z108" s="49">
        <v>4</v>
      </c>
      <c r="AA108" s="101">
        <f t="shared" si="27"/>
        <v>4</v>
      </c>
      <c r="AB108" s="101" t="s">
        <v>87</v>
      </c>
      <c r="AC108" s="49">
        <v>3</v>
      </c>
      <c r="AD108" s="101" t="str">
        <f t="shared" si="28"/>
        <v>Medium</v>
      </c>
      <c r="AE108" s="101">
        <f t="shared" si="20"/>
        <v>12</v>
      </c>
      <c r="AF108" s="102" t="str">
        <f t="shared" si="25"/>
        <v>Medium</v>
      </c>
      <c r="AG108" s="49" t="s">
        <v>88</v>
      </c>
      <c r="AH108" s="49">
        <v>3</v>
      </c>
      <c r="AI108" s="49"/>
      <c r="AJ108" s="49"/>
      <c r="AK108" s="49"/>
      <c r="AL108" s="101" t="str">
        <f t="shared" si="26"/>
        <v>Medium</v>
      </c>
      <c r="AM108" s="49">
        <v>3</v>
      </c>
      <c r="AN108" s="101" t="str">
        <f t="shared" si="29"/>
        <v>Medium</v>
      </c>
      <c r="AO108" s="101">
        <f t="shared" si="30"/>
        <v>9</v>
      </c>
      <c r="AP108" s="101" t="str">
        <f t="shared" si="31"/>
        <v>Low</v>
      </c>
      <c r="AQ108" s="49" t="s">
        <v>89</v>
      </c>
      <c r="AR108" s="49" t="s">
        <v>1002</v>
      </c>
      <c r="AS108" s="49" t="s">
        <v>995</v>
      </c>
      <c r="AT108" s="55">
        <v>46022</v>
      </c>
      <c r="AU108" s="53" t="s">
        <v>140</v>
      </c>
      <c r="AV108" s="52">
        <v>45718</v>
      </c>
      <c r="AW108" s="49"/>
    </row>
    <row r="109" spans="1:49" s="32" customFormat="1" ht="90" x14ac:dyDescent="0.2">
      <c r="A109" s="49">
        <v>107</v>
      </c>
      <c r="B109" s="84" t="s">
        <v>1003</v>
      </c>
      <c r="C109" s="49" t="s">
        <v>25</v>
      </c>
      <c r="D109" s="49" t="s">
        <v>25</v>
      </c>
      <c r="E109" s="49" t="s">
        <v>307</v>
      </c>
      <c r="F109" s="49" t="s">
        <v>992</v>
      </c>
      <c r="G109" s="49" t="s">
        <v>992</v>
      </c>
      <c r="H109" s="49" t="s">
        <v>1004</v>
      </c>
      <c r="I109" s="49" t="s">
        <v>1005</v>
      </c>
      <c r="J109" s="49" t="s">
        <v>995</v>
      </c>
      <c r="K109" s="49" t="s">
        <v>995</v>
      </c>
      <c r="L109" s="49" t="s">
        <v>1006</v>
      </c>
      <c r="M109" s="49"/>
      <c r="N109" s="49"/>
      <c r="O109" s="49" t="s">
        <v>85</v>
      </c>
      <c r="P109" s="49"/>
      <c r="Q109" s="49"/>
      <c r="R109" s="49"/>
      <c r="S109" s="49"/>
      <c r="T109" s="49"/>
      <c r="U109" s="49"/>
      <c r="V109" s="49"/>
      <c r="W109" s="49"/>
      <c r="X109" s="49"/>
      <c r="Y109" s="49"/>
      <c r="Z109" s="49">
        <v>4</v>
      </c>
      <c r="AA109" s="101">
        <f t="shared" si="27"/>
        <v>4</v>
      </c>
      <c r="AB109" s="101" t="s">
        <v>87</v>
      </c>
      <c r="AC109" s="49">
        <v>4</v>
      </c>
      <c r="AD109" s="101" t="str">
        <f t="shared" si="28"/>
        <v>High</v>
      </c>
      <c r="AE109" s="101">
        <f t="shared" si="20"/>
        <v>16</v>
      </c>
      <c r="AF109" s="102" t="str">
        <f t="shared" si="25"/>
        <v>High</v>
      </c>
      <c r="AG109" s="49" t="s">
        <v>88</v>
      </c>
      <c r="AH109" s="49">
        <v>3</v>
      </c>
      <c r="AI109" s="49"/>
      <c r="AJ109" s="49"/>
      <c r="AK109" s="49"/>
      <c r="AL109" s="101" t="str">
        <f t="shared" si="26"/>
        <v>Medium</v>
      </c>
      <c r="AM109" s="49">
        <v>3</v>
      </c>
      <c r="AN109" s="101" t="str">
        <f t="shared" si="29"/>
        <v>Medium</v>
      </c>
      <c r="AO109" s="101">
        <f t="shared" si="30"/>
        <v>9</v>
      </c>
      <c r="AP109" s="101" t="str">
        <f t="shared" si="31"/>
        <v>Low</v>
      </c>
      <c r="AQ109" s="49" t="s">
        <v>89</v>
      </c>
      <c r="AR109" s="49" t="s">
        <v>1007</v>
      </c>
      <c r="AS109" s="49" t="s">
        <v>995</v>
      </c>
      <c r="AT109" s="55">
        <v>46022</v>
      </c>
      <c r="AU109" s="53" t="s">
        <v>140</v>
      </c>
      <c r="AV109" s="52">
        <v>45718</v>
      </c>
      <c r="AW109" s="49"/>
    </row>
    <row r="110" spans="1:49" s="32" customFormat="1" ht="75" x14ac:dyDescent="0.2">
      <c r="A110" s="49">
        <v>108</v>
      </c>
      <c r="B110" s="84" t="s">
        <v>1008</v>
      </c>
      <c r="C110" s="49" t="s">
        <v>25</v>
      </c>
      <c r="D110" s="49" t="s">
        <v>25</v>
      </c>
      <c r="E110" s="49" t="s">
        <v>307</v>
      </c>
      <c r="F110" s="49" t="s">
        <v>992</v>
      </c>
      <c r="G110" s="49" t="s">
        <v>992</v>
      </c>
      <c r="H110" s="49" t="s">
        <v>1009</v>
      </c>
      <c r="I110" s="49" t="s">
        <v>1010</v>
      </c>
      <c r="J110" s="49" t="s">
        <v>995</v>
      </c>
      <c r="K110" s="49" t="s">
        <v>995</v>
      </c>
      <c r="L110" s="49" t="s">
        <v>1010</v>
      </c>
      <c r="M110" s="49"/>
      <c r="N110" s="49"/>
      <c r="O110" s="49" t="s">
        <v>85</v>
      </c>
      <c r="P110" s="49"/>
      <c r="Q110" s="49"/>
      <c r="R110" s="49"/>
      <c r="S110" s="49"/>
      <c r="T110" s="49"/>
      <c r="U110" s="49"/>
      <c r="V110" s="49"/>
      <c r="W110" s="49"/>
      <c r="X110" s="49"/>
      <c r="Y110" s="49"/>
      <c r="Z110" s="49">
        <v>4</v>
      </c>
      <c r="AA110" s="101">
        <f t="shared" si="27"/>
        <v>4</v>
      </c>
      <c r="AB110" s="101" t="s">
        <v>87</v>
      </c>
      <c r="AC110" s="49">
        <v>3</v>
      </c>
      <c r="AD110" s="101" t="str">
        <f t="shared" si="28"/>
        <v>Medium</v>
      </c>
      <c r="AE110" s="101">
        <f t="shared" si="20"/>
        <v>12</v>
      </c>
      <c r="AF110" s="102" t="str">
        <f t="shared" si="25"/>
        <v>Medium</v>
      </c>
      <c r="AG110" s="49" t="s">
        <v>88</v>
      </c>
      <c r="AH110" s="49">
        <v>3</v>
      </c>
      <c r="AI110" s="49"/>
      <c r="AJ110" s="49"/>
      <c r="AK110" s="49"/>
      <c r="AL110" s="101" t="str">
        <f t="shared" si="26"/>
        <v>Medium</v>
      </c>
      <c r="AM110" s="49">
        <v>2</v>
      </c>
      <c r="AN110" s="101" t="str">
        <f t="shared" si="29"/>
        <v>Low</v>
      </c>
      <c r="AO110" s="101">
        <f t="shared" si="30"/>
        <v>6</v>
      </c>
      <c r="AP110" s="101" t="str">
        <f t="shared" si="31"/>
        <v>Very Low</v>
      </c>
      <c r="AQ110" s="49" t="s">
        <v>89</v>
      </c>
      <c r="AR110" s="49" t="s">
        <v>1011</v>
      </c>
      <c r="AS110" s="49" t="s">
        <v>995</v>
      </c>
      <c r="AT110" s="55">
        <v>46022</v>
      </c>
      <c r="AU110" s="53" t="s">
        <v>140</v>
      </c>
      <c r="AV110" s="52">
        <v>45718</v>
      </c>
      <c r="AW110" s="49"/>
    </row>
    <row r="111" spans="1:49" s="32" customFormat="1" ht="120" x14ac:dyDescent="0.2">
      <c r="A111" s="49">
        <v>109</v>
      </c>
      <c r="B111" s="84" t="s">
        <v>1012</v>
      </c>
      <c r="C111" s="49" t="s">
        <v>25</v>
      </c>
      <c r="D111" s="49" t="s">
        <v>25</v>
      </c>
      <c r="E111" s="49" t="s">
        <v>307</v>
      </c>
      <c r="F111" s="49" t="s">
        <v>992</v>
      </c>
      <c r="G111" s="49" t="s">
        <v>992</v>
      </c>
      <c r="H111" s="49" t="s">
        <v>1013</v>
      </c>
      <c r="I111" s="49" t="s">
        <v>1013</v>
      </c>
      <c r="J111" s="49" t="s">
        <v>995</v>
      </c>
      <c r="K111" s="49" t="s">
        <v>995</v>
      </c>
      <c r="L111" s="49" t="s">
        <v>1014</v>
      </c>
      <c r="M111" s="49"/>
      <c r="N111" s="49"/>
      <c r="O111" s="49" t="s">
        <v>85</v>
      </c>
      <c r="P111" s="49"/>
      <c r="Q111" s="49"/>
      <c r="R111" s="49"/>
      <c r="S111" s="49"/>
      <c r="T111" s="49"/>
      <c r="U111" s="49"/>
      <c r="V111" s="49"/>
      <c r="W111" s="49"/>
      <c r="X111" s="49"/>
      <c r="Y111" s="49"/>
      <c r="Z111" s="49">
        <v>3</v>
      </c>
      <c r="AA111" s="101">
        <f t="shared" si="27"/>
        <v>3</v>
      </c>
      <c r="AB111" s="101" t="s">
        <v>109</v>
      </c>
      <c r="AC111" s="49">
        <v>3</v>
      </c>
      <c r="AD111" s="101" t="str">
        <f t="shared" si="28"/>
        <v>Medium</v>
      </c>
      <c r="AE111" s="101">
        <f t="shared" si="20"/>
        <v>9</v>
      </c>
      <c r="AF111" s="102" t="str">
        <f t="shared" si="25"/>
        <v>Low</v>
      </c>
      <c r="AG111" s="49" t="s">
        <v>88</v>
      </c>
      <c r="AH111" s="49">
        <v>2</v>
      </c>
      <c r="AI111" s="49"/>
      <c r="AJ111" s="49"/>
      <c r="AK111" s="49"/>
      <c r="AL111" s="101" t="str">
        <f t="shared" si="26"/>
        <v>Low</v>
      </c>
      <c r="AM111" s="49">
        <v>2</v>
      </c>
      <c r="AN111" s="101" t="str">
        <f t="shared" si="29"/>
        <v>Low</v>
      </c>
      <c r="AO111" s="101">
        <f t="shared" si="30"/>
        <v>4</v>
      </c>
      <c r="AP111" s="101" t="str">
        <f t="shared" si="31"/>
        <v>Very Low</v>
      </c>
      <c r="AQ111" s="49" t="s">
        <v>89</v>
      </c>
      <c r="AR111" s="49" t="s">
        <v>1015</v>
      </c>
      <c r="AS111" s="49" t="s">
        <v>995</v>
      </c>
      <c r="AT111" s="55">
        <v>46022</v>
      </c>
      <c r="AU111" s="53" t="s">
        <v>102</v>
      </c>
      <c r="AV111" s="52">
        <v>45718</v>
      </c>
      <c r="AW111" s="49"/>
    </row>
    <row r="112" spans="1:49" s="32" customFormat="1" ht="105" x14ac:dyDescent="0.2">
      <c r="A112" s="49">
        <v>110</v>
      </c>
      <c r="B112" s="84" t="s">
        <v>1016</v>
      </c>
      <c r="C112" s="49" t="s">
        <v>25</v>
      </c>
      <c r="D112" s="49" t="s">
        <v>25</v>
      </c>
      <c r="E112" s="49" t="s">
        <v>307</v>
      </c>
      <c r="F112" s="49" t="s">
        <v>992</v>
      </c>
      <c r="G112" s="49" t="s">
        <v>992</v>
      </c>
      <c r="H112" s="49" t="s">
        <v>1017</v>
      </c>
      <c r="I112" s="49" t="s">
        <v>1018</v>
      </c>
      <c r="J112" s="49" t="s">
        <v>995</v>
      </c>
      <c r="K112" s="49" t="s">
        <v>995</v>
      </c>
      <c r="L112" s="49" t="s">
        <v>1019</v>
      </c>
      <c r="M112" s="49"/>
      <c r="N112" s="49"/>
      <c r="O112" s="49" t="s">
        <v>85</v>
      </c>
      <c r="P112" s="49"/>
      <c r="Q112" s="49"/>
      <c r="R112" s="49"/>
      <c r="S112" s="49"/>
      <c r="T112" s="49"/>
      <c r="U112" s="49"/>
      <c r="V112" s="49"/>
      <c r="W112" s="49"/>
      <c r="X112" s="49"/>
      <c r="Y112" s="49"/>
      <c r="Z112" s="49">
        <v>4</v>
      </c>
      <c r="AA112" s="101">
        <f t="shared" si="27"/>
        <v>4</v>
      </c>
      <c r="AB112" s="101" t="s">
        <v>87</v>
      </c>
      <c r="AC112" s="49">
        <v>4</v>
      </c>
      <c r="AD112" s="101" t="str">
        <f t="shared" si="28"/>
        <v>High</v>
      </c>
      <c r="AE112" s="101">
        <f t="shared" si="20"/>
        <v>16</v>
      </c>
      <c r="AF112" s="102" t="str">
        <f t="shared" si="25"/>
        <v>High</v>
      </c>
      <c r="AG112" s="49" t="s">
        <v>88</v>
      </c>
      <c r="AH112" s="49">
        <v>3</v>
      </c>
      <c r="AI112" s="49"/>
      <c r="AJ112" s="49"/>
      <c r="AK112" s="49"/>
      <c r="AL112" s="101" t="str">
        <f t="shared" si="26"/>
        <v>Medium</v>
      </c>
      <c r="AM112" s="49">
        <v>3</v>
      </c>
      <c r="AN112" s="101" t="str">
        <f t="shared" si="29"/>
        <v>Medium</v>
      </c>
      <c r="AO112" s="101">
        <f t="shared" si="30"/>
        <v>9</v>
      </c>
      <c r="AP112" s="101" t="str">
        <f t="shared" si="31"/>
        <v>Low</v>
      </c>
      <c r="AQ112" s="49" t="s">
        <v>89</v>
      </c>
      <c r="AR112" s="49" t="s">
        <v>1020</v>
      </c>
      <c r="AS112" s="49" t="s">
        <v>995</v>
      </c>
      <c r="AT112" s="55">
        <v>46022</v>
      </c>
      <c r="AU112" s="53" t="s">
        <v>102</v>
      </c>
      <c r="AV112" s="52">
        <v>45718</v>
      </c>
      <c r="AW112" s="134"/>
    </row>
    <row r="113" spans="1:49" s="32" customFormat="1" ht="135" x14ac:dyDescent="0.2">
      <c r="A113" s="49">
        <v>111</v>
      </c>
      <c r="B113" s="84" t="s">
        <v>1021</v>
      </c>
      <c r="C113" s="49" t="s">
        <v>164</v>
      </c>
      <c r="D113" s="49" t="s">
        <v>417</v>
      </c>
      <c r="E113" s="49" t="s">
        <v>166</v>
      </c>
      <c r="F113" s="49" t="s">
        <v>1022</v>
      </c>
      <c r="G113" s="49" t="s">
        <v>420</v>
      </c>
      <c r="H113" s="100" t="s">
        <v>1023</v>
      </c>
      <c r="I113" s="49" t="s">
        <v>1024</v>
      </c>
      <c r="J113" s="49" t="s">
        <v>1025</v>
      </c>
      <c r="K113" s="49" t="s">
        <v>1026</v>
      </c>
      <c r="L113" s="155" t="s">
        <v>1027</v>
      </c>
      <c r="M113" s="134" t="s">
        <v>1028</v>
      </c>
      <c r="N113" s="49" t="s">
        <v>427</v>
      </c>
      <c r="O113" s="49" t="s">
        <v>85</v>
      </c>
      <c r="P113" s="49" t="s">
        <v>86</v>
      </c>
      <c r="Q113" s="49"/>
      <c r="R113" s="49">
        <v>4</v>
      </c>
      <c r="S113" s="49"/>
      <c r="T113" s="49">
        <v>1</v>
      </c>
      <c r="U113" s="49"/>
      <c r="V113" s="49"/>
      <c r="W113" s="49">
        <v>3</v>
      </c>
      <c r="X113" s="49">
        <v>5</v>
      </c>
      <c r="Y113" s="49"/>
      <c r="Z113" s="49"/>
      <c r="AA113" s="114">
        <f t="shared" si="27"/>
        <v>5</v>
      </c>
      <c r="AB113" s="101" t="s">
        <v>100</v>
      </c>
      <c r="AC113" s="49">
        <v>4</v>
      </c>
      <c r="AD113" s="101" t="str">
        <f t="shared" si="28"/>
        <v>High</v>
      </c>
      <c r="AE113" s="101">
        <f t="shared" si="20"/>
        <v>20</v>
      </c>
      <c r="AF113" s="102" t="str">
        <f t="shared" si="25"/>
        <v>Very High</v>
      </c>
      <c r="AG113" s="50" t="s">
        <v>88</v>
      </c>
      <c r="AH113" s="51">
        <v>4</v>
      </c>
      <c r="AI113" s="137"/>
      <c r="AJ113" s="49"/>
      <c r="AK113" s="49"/>
      <c r="AL113" s="101" t="str">
        <f t="shared" si="26"/>
        <v>High</v>
      </c>
      <c r="AM113" s="49">
        <v>4</v>
      </c>
      <c r="AN113" s="101" t="str">
        <f t="shared" si="29"/>
        <v>High</v>
      </c>
      <c r="AO113" s="101">
        <f t="shared" si="30"/>
        <v>16</v>
      </c>
      <c r="AP113" s="101" t="str">
        <f t="shared" si="31"/>
        <v>High</v>
      </c>
      <c r="AQ113" s="49" t="s">
        <v>515</v>
      </c>
      <c r="AR113" s="131" t="s">
        <v>1029</v>
      </c>
      <c r="AS113" s="49" t="s">
        <v>1030</v>
      </c>
      <c r="AT113" s="147">
        <v>45838</v>
      </c>
      <c r="AU113" s="53" t="s">
        <v>102</v>
      </c>
      <c r="AV113" s="133">
        <v>45714</v>
      </c>
      <c r="AW113" s="136" t="s">
        <v>1031</v>
      </c>
    </row>
    <row r="114" spans="1:49" s="32" customFormat="1" ht="60" x14ac:dyDescent="0.25">
      <c r="A114" s="49">
        <v>112</v>
      </c>
      <c r="B114" s="84" t="s">
        <v>1032</v>
      </c>
      <c r="C114" s="49" t="s">
        <v>164</v>
      </c>
      <c r="D114" s="49" t="s">
        <v>417</v>
      </c>
      <c r="E114" s="49" t="s">
        <v>434</v>
      </c>
      <c r="F114" s="49" t="s">
        <v>1022</v>
      </c>
      <c r="G114" s="49" t="s">
        <v>131</v>
      </c>
      <c r="H114" s="49" t="s">
        <v>1033</v>
      </c>
      <c r="I114" s="49" t="s">
        <v>1034</v>
      </c>
      <c r="J114" s="49" t="s">
        <v>1030</v>
      </c>
      <c r="K114" s="49" t="s">
        <v>1030</v>
      </c>
      <c r="L114" s="50" t="s">
        <v>1035</v>
      </c>
      <c r="M114" s="131" t="s">
        <v>1036</v>
      </c>
      <c r="N114" s="137" t="s">
        <v>427</v>
      </c>
      <c r="O114" s="49" t="s">
        <v>85</v>
      </c>
      <c r="P114" s="49" t="s">
        <v>427</v>
      </c>
      <c r="Q114" s="49" t="s">
        <v>427</v>
      </c>
      <c r="R114" s="49">
        <v>2</v>
      </c>
      <c r="S114" s="49">
        <v>1</v>
      </c>
      <c r="T114" s="49"/>
      <c r="U114" s="49"/>
      <c r="V114" s="49"/>
      <c r="W114" s="49"/>
      <c r="X114" s="49">
        <v>3</v>
      </c>
      <c r="Y114" s="49"/>
      <c r="Z114" s="49"/>
      <c r="AA114" s="114">
        <f t="shared" si="27"/>
        <v>3</v>
      </c>
      <c r="AB114" s="101" t="s">
        <v>109</v>
      </c>
      <c r="AC114" s="49">
        <v>2</v>
      </c>
      <c r="AD114" s="101" t="str">
        <f t="shared" si="28"/>
        <v>Low</v>
      </c>
      <c r="AE114" s="101">
        <f t="shared" si="20"/>
        <v>6</v>
      </c>
      <c r="AF114" s="102" t="str">
        <f t="shared" si="25"/>
        <v>Very Low</v>
      </c>
      <c r="AG114" s="50" t="s">
        <v>88</v>
      </c>
      <c r="AH114" s="51">
        <v>2</v>
      </c>
      <c r="AI114" s="137"/>
      <c r="AJ114" s="49"/>
      <c r="AK114" s="49"/>
      <c r="AL114" s="101" t="str">
        <f t="shared" si="26"/>
        <v>Low</v>
      </c>
      <c r="AM114" s="49">
        <v>2</v>
      </c>
      <c r="AN114" s="101" t="str">
        <f t="shared" si="29"/>
        <v>Low</v>
      </c>
      <c r="AO114" s="101">
        <f t="shared" si="30"/>
        <v>4</v>
      </c>
      <c r="AP114" s="101" t="str">
        <f t="shared" si="31"/>
        <v>Very Low</v>
      </c>
      <c r="AQ114" s="49" t="s">
        <v>89</v>
      </c>
      <c r="AR114" s="49" t="s">
        <v>1037</v>
      </c>
      <c r="AS114" s="49" t="s">
        <v>1038</v>
      </c>
      <c r="AT114" s="147">
        <v>45474</v>
      </c>
      <c r="AU114" s="53" t="s">
        <v>140</v>
      </c>
      <c r="AV114" s="133">
        <v>45714</v>
      </c>
      <c r="AW114" s="132"/>
    </row>
    <row r="115" spans="1:49" s="32" customFormat="1" ht="60" x14ac:dyDescent="0.2">
      <c r="A115" s="49">
        <v>113</v>
      </c>
      <c r="B115" s="49" t="s">
        <v>1039</v>
      </c>
      <c r="C115" s="49" t="s">
        <v>18</v>
      </c>
      <c r="D115" s="49" t="s">
        <v>185</v>
      </c>
      <c r="E115" s="95" t="s">
        <v>186</v>
      </c>
      <c r="F115" s="49" t="s">
        <v>545</v>
      </c>
      <c r="G115" s="49" t="s">
        <v>502</v>
      </c>
      <c r="H115" s="49" t="s">
        <v>1040</v>
      </c>
      <c r="I115" s="49" t="s">
        <v>1041</v>
      </c>
      <c r="J115" s="49" t="s">
        <v>548</v>
      </c>
      <c r="K115" s="49" t="s">
        <v>548</v>
      </c>
      <c r="L115" s="49" t="s">
        <v>1042</v>
      </c>
      <c r="M115" s="138" t="s">
        <v>1043</v>
      </c>
      <c r="N115" s="49"/>
      <c r="O115" s="49" t="s">
        <v>85</v>
      </c>
      <c r="P115" s="49"/>
      <c r="Q115" s="49"/>
      <c r="R115" s="49">
        <v>3</v>
      </c>
      <c r="S115" s="49">
        <v>2</v>
      </c>
      <c r="T115" s="49">
        <v>1</v>
      </c>
      <c r="U115" s="49">
        <v>3</v>
      </c>
      <c r="V115" s="49">
        <v>4</v>
      </c>
      <c r="W115" s="49">
        <v>1</v>
      </c>
      <c r="X115" s="49">
        <v>2</v>
      </c>
      <c r="Y115" s="49">
        <v>2</v>
      </c>
      <c r="Z115" s="49">
        <v>2</v>
      </c>
      <c r="AA115" s="114">
        <f t="shared" ref="AA115:AA161" si="32">MAX(R115:Z115)</f>
        <v>4</v>
      </c>
      <c r="AB115" s="101" t="str">
        <f>IFERROR(VLOOKUP(AA115,'Risk Matrices'!$A$35:$B$39,2,FALSE),"")</f>
        <v>High</v>
      </c>
      <c r="AC115" s="49">
        <v>2</v>
      </c>
      <c r="AD115" s="101" t="str">
        <f t="shared" ref="AD115:AD161" si="33">IF(AC115=1,"Very Low",IF(AC115=2,"Low",IF(AC115=3,"Medium",IF(AC115=4,"High",IF(AC115=5,"Very High",)))))</f>
        <v>Low</v>
      </c>
      <c r="AE115" s="101">
        <f t="shared" si="20"/>
        <v>8</v>
      </c>
      <c r="AF115" s="102" t="str">
        <f t="shared" ref="AF115:AF161" si="34">IF(AE115=1,"Very Low",IF(AE115=2,"Very Low",IF(AE115=3,"Very Low",IF(AE115=4,"Very Low",IF(AE115=5,"Very Low",IF(AE115=6,"Very Low",IF(AE115=8,"Low",IF(AE115=9,"Low",IF(AE115=10,"Medium",IF(AE115=12,"Medium",IF(AE115=15,"High",IF(AE115=16,"High",IF(AE115=20,"Very High",IF(AE115=25,"Very High",))))))))))))))</f>
        <v>Low</v>
      </c>
      <c r="AG115" s="50" t="s">
        <v>88</v>
      </c>
      <c r="AH115" s="51">
        <v>3</v>
      </c>
      <c r="AI115" s="137"/>
      <c r="AJ115" s="49"/>
      <c r="AK115" s="49"/>
      <c r="AL115" s="101" t="str">
        <f t="shared" ref="AL115:AL161" si="35">IF(AH115=1,"Very Low",IF(AH115=2,"Low",IF(AH115=3,"Medium",IF(AH115=4,"High",IF(AH115=5,"Very High",)))))</f>
        <v>Medium</v>
      </c>
      <c r="AM115" s="49">
        <v>1</v>
      </c>
      <c r="AN115" s="101" t="str">
        <f t="shared" ref="AN115:AN161" si="36">IF(AM115=1,"Very Low",IF(AM115=2,"Low",IF(AM115=3,"Medium",IF(AM115=4,"High",IF(AM115=5,"Very High",)))))</f>
        <v>Very Low</v>
      </c>
      <c r="AO115" s="101">
        <f t="shared" ref="AO115:AO161" si="37">AH115*AM115</f>
        <v>3</v>
      </c>
      <c r="AP115" s="101" t="str">
        <f t="shared" ref="AP115:AP161" si="38">IF(AO115=1,"Very Low",IF(AO115=2,"Very Low",IF(AO115=3,"Very Low",IF(AO115=4,"Very Low",IF(AO115=5,"Very Low",IF(AO115=6,"Very Low",IF(AO115=8,"Low",IF(AO115=9,"Low",IF(AO115=10,"Medium",IF(AO115=12,"Medium",IF(AO115=15,"High",IF(AO115=16,"High",IF(AO115=20,"Very High",IF(AO115=25,"Very High",))))))))))))))</f>
        <v>Very Low</v>
      </c>
      <c r="AQ115" s="49" t="s">
        <v>89</v>
      </c>
      <c r="AR115" s="49" t="s">
        <v>1044</v>
      </c>
      <c r="AS115" s="49" t="s">
        <v>555</v>
      </c>
      <c r="AT115" s="55">
        <v>45564</v>
      </c>
      <c r="AU115" s="53" t="s">
        <v>140</v>
      </c>
      <c r="AV115" s="52">
        <v>45721</v>
      </c>
      <c r="AW115" s="135"/>
    </row>
    <row r="116" spans="1:49" s="150" customFormat="1" ht="180" x14ac:dyDescent="0.2">
      <c r="A116" s="49">
        <v>114</v>
      </c>
      <c r="B116" s="49" t="s">
        <v>1045</v>
      </c>
      <c r="C116" s="49" t="s">
        <v>164</v>
      </c>
      <c r="D116" s="134" t="s">
        <v>185</v>
      </c>
      <c r="E116" s="49" t="s">
        <v>1046</v>
      </c>
      <c r="F116" s="57" t="s">
        <v>737</v>
      </c>
      <c r="G116" s="57" t="s">
        <v>566</v>
      </c>
      <c r="H116" s="149" t="s">
        <v>1047</v>
      </c>
      <c r="I116" s="49" t="s">
        <v>1048</v>
      </c>
      <c r="J116" s="57" t="s">
        <v>1049</v>
      </c>
      <c r="K116" s="49" t="s">
        <v>1050</v>
      </c>
      <c r="L116" s="49" t="s">
        <v>1051</v>
      </c>
      <c r="M116" s="134" t="s">
        <v>1052</v>
      </c>
      <c r="N116" s="134" t="s">
        <v>1053</v>
      </c>
      <c r="O116" s="49" t="s">
        <v>85</v>
      </c>
      <c r="P116" s="57" t="s">
        <v>86</v>
      </c>
      <c r="Q116" s="49"/>
      <c r="R116" s="49">
        <v>3</v>
      </c>
      <c r="S116" s="49">
        <v>3</v>
      </c>
      <c r="T116" s="49">
        <v>1</v>
      </c>
      <c r="U116" s="49">
        <v>2</v>
      </c>
      <c r="V116" s="49">
        <v>5</v>
      </c>
      <c r="W116" s="49">
        <v>3</v>
      </c>
      <c r="X116" s="49">
        <v>4</v>
      </c>
      <c r="Y116" s="49"/>
      <c r="Z116" s="49">
        <v>3</v>
      </c>
      <c r="AA116" s="114">
        <f t="shared" si="32"/>
        <v>5</v>
      </c>
      <c r="AB116" s="101" t="str">
        <f>IFERROR(VLOOKUP(AA116,'Risk Matrices'!$A$35:$B$39,2,FALSE),"")</f>
        <v>Very High</v>
      </c>
      <c r="AC116" s="49">
        <v>4</v>
      </c>
      <c r="AD116" s="101" t="str">
        <f t="shared" si="33"/>
        <v>High</v>
      </c>
      <c r="AE116" s="101">
        <f t="shared" si="20"/>
        <v>20</v>
      </c>
      <c r="AF116" s="102" t="str">
        <f t="shared" si="34"/>
        <v>Very High</v>
      </c>
      <c r="AG116" s="50" t="s">
        <v>88</v>
      </c>
      <c r="AH116" s="51">
        <v>4</v>
      </c>
      <c r="AI116" s="137"/>
      <c r="AJ116" s="49"/>
      <c r="AK116" s="49"/>
      <c r="AL116" s="101" t="str">
        <f t="shared" si="35"/>
        <v>High</v>
      </c>
      <c r="AM116" s="49">
        <v>3</v>
      </c>
      <c r="AN116" s="101" t="str">
        <f t="shared" si="36"/>
        <v>Medium</v>
      </c>
      <c r="AO116" s="101">
        <f t="shared" si="37"/>
        <v>12</v>
      </c>
      <c r="AP116" s="101" t="str">
        <f t="shared" si="38"/>
        <v>Medium</v>
      </c>
      <c r="AQ116" s="49" t="s">
        <v>89</v>
      </c>
      <c r="AR116" s="49" t="s">
        <v>1054</v>
      </c>
      <c r="AS116" s="49" t="s">
        <v>1055</v>
      </c>
      <c r="AT116" s="55">
        <v>46022</v>
      </c>
      <c r="AU116" s="53" t="s">
        <v>102</v>
      </c>
      <c r="AV116" s="52">
        <v>45720</v>
      </c>
      <c r="AW116" s="54" t="s">
        <v>1056</v>
      </c>
    </row>
    <row r="117" spans="1:49" s="150" customFormat="1" ht="114" x14ac:dyDescent="0.2">
      <c r="A117" s="49">
        <v>115</v>
      </c>
      <c r="B117" s="49" t="s">
        <v>1057</v>
      </c>
      <c r="C117" s="50" t="s">
        <v>25</v>
      </c>
      <c r="D117" s="151" t="s">
        <v>19</v>
      </c>
      <c r="E117" s="137" t="s">
        <v>227</v>
      </c>
      <c r="F117" s="57" t="s">
        <v>737</v>
      </c>
      <c r="G117" s="57" t="s">
        <v>566</v>
      </c>
      <c r="H117" s="49" t="s">
        <v>1058</v>
      </c>
      <c r="I117" s="49" t="s">
        <v>1059</v>
      </c>
      <c r="J117" s="49" t="s">
        <v>793</v>
      </c>
      <c r="K117" s="49" t="s">
        <v>793</v>
      </c>
      <c r="L117" s="50" t="s">
        <v>1060</v>
      </c>
      <c r="M117" s="153" t="s">
        <v>1061</v>
      </c>
      <c r="N117" s="152" t="s">
        <v>1062</v>
      </c>
      <c r="O117" s="137" t="s">
        <v>85</v>
      </c>
      <c r="P117" s="57" t="s">
        <v>86</v>
      </c>
      <c r="Q117" s="49"/>
      <c r="R117" s="49">
        <v>2</v>
      </c>
      <c r="S117" s="49">
        <v>1</v>
      </c>
      <c r="T117" s="49">
        <v>3</v>
      </c>
      <c r="U117" s="49">
        <v>1</v>
      </c>
      <c r="V117" s="49"/>
      <c r="W117" s="49">
        <v>2</v>
      </c>
      <c r="X117" s="49">
        <v>2</v>
      </c>
      <c r="Y117" s="49">
        <v>2</v>
      </c>
      <c r="Z117" s="49">
        <v>4</v>
      </c>
      <c r="AA117" s="114">
        <f t="shared" si="32"/>
        <v>4</v>
      </c>
      <c r="AB117" s="101" t="str">
        <f>IFERROR(VLOOKUP(AA117,'Risk Matrices'!$A$35:$B$39,2,FALSE),"")</f>
        <v>High</v>
      </c>
      <c r="AC117" s="49">
        <v>3</v>
      </c>
      <c r="AD117" s="101" t="str">
        <f t="shared" si="33"/>
        <v>Medium</v>
      </c>
      <c r="AE117" s="101">
        <f t="shared" si="20"/>
        <v>12</v>
      </c>
      <c r="AF117" s="102" t="str">
        <f t="shared" si="34"/>
        <v>Medium</v>
      </c>
      <c r="AG117" s="50" t="s">
        <v>88</v>
      </c>
      <c r="AH117" s="51">
        <v>1</v>
      </c>
      <c r="AI117" s="137"/>
      <c r="AJ117" s="49"/>
      <c r="AK117" s="49"/>
      <c r="AL117" s="101" t="str">
        <f t="shared" si="35"/>
        <v>Very Low</v>
      </c>
      <c r="AM117" s="49">
        <v>2</v>
      </c>
      <c r="AN117" s="101" t="str">
        <f t="shared" si="36"/>
        <v>Low</v>
      </c>
      <c r="AO117" s="101">
        <f t="shared" si="37"/>
        <v>2</v>
      </c>
      <c r="AP117" s="101" t="str">
        <f t="shared" si="38"/>
        <v>Very Low</v>
      </c>
      <c r="AQ117" s="49" t="s">
        <v>89</v>
      </c>
      <c r="AR117" s="49" t="s">
        <v>1063</v>
      </c>
      <c r="AS117" s="49" t="s">
        <v>1064</v>
      </c>
      <c r="AT117" s="55">
        <v>46752</v>
      </c>
      <c r="AU117" s="53" t="s">
        <v>102</v>
      </c>
      <c r="AV117" s="52">
        <v>45720</v>
      </c>
      <c r="AW117" s="54" t="s">
        <v>1065</v>
      </c>
    </row>
    <row r="118" spans="1:49" s="32" customFormat="1" ht="15.75" x14ac:dyDescent="0.2">
      <c r="A118" s="49"/>
      <c r="B118" s="49"/>
      <c r="C118" s="49"/>
      <c r="D118" s="138"/>
      <c r="E118" s="49"/>
      <c r="F118" s="49"/>
      <c r="G118" s="49"/>
      <c r="H118" s="49"/>
      <c r="I118" s="49"/>
      <c r="J118" s="49"/>
      <c r="K118" s="49"/>
      <c r="L118" s="49"/>
      <c r="M118" s="138"/>
      <c r="N118" s="138"/>
      <c r="O118" s="49"/>
      <c r="P118" s="49"/>
      <c r="Q118" s="49"/>
      <c r="R118" s="49"/>
      <c r="S118" s="49"/>
      <c r="T118" s="49"/>
      <c r="U118" s="49"/>
      <c r="V118" s="49"/>
      <c r="W118" s="49"/>
      <c r="X118" s="49"/>
      <c r="Y118" s="49"/>
      <c r="Z118" s="49"/>
      <c r="AA118" s="114">
        <f t="shared" si="32"/>
        <v>0</v>
      </c>
      <c r="AB118" s="101" t="str">
        <f>IFERROR(VLOOKUP(AA118,'Risk Matrices'!$A$35:$B$39,2,FALSE),"")</f>
        <v/>
      </c>
      <c r="AC118" s="49"/>
      <c r="AD118" s="101">
        <f t="shared" si="33"/>
        <v>0</v>
      </c>
      <c r="AE118" s="101">
        <f t="shared" si="20"/>
        <v>0</v>
      </c>
      <c r="AF118" s="102">
        <f t="shared" si="34"/>
        <v>0</v>
      </c>
      <c r="AG118" s="50"/>
      <c r="AH118" s="51"/>
      <c r="AI118" s="137"/>
      <c r="AJ118" s="49"/>
      <c r="AK118" s="49"/>
      <c r="AL118" s="101">
        <f t="shared" si="35"/>
        <v>0</v>
      </c>
      <c r="AM118" s="49"/>
      <c r="AN118" s="101">
        <f t="shared" si="36"/>
        <v>0</v>
      </c>
      <c r="AO118" s="101">
        <f t="shared" si="37"/>
        <v>0</v>
      </c>
      <c r="AP118" s="101">
        <f t="shared" si="38"/>
        <v>0</v>
      </c>
      <c r="AQ118" s="49"/>
      <c r="AR118" s="49"/>
      <c r="AS118" s="49"/>
      <c r="AT118" s="55"/>
      <c r="AU118" s="53"/>
      <c r="AV118" s="56"/>
      <c r="AW118" s="54"/>
    </row>
    <row r="119" spans="1:49" s="32" customFormat="1" ht="15.75" x14ac:dyDescent="0.2">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114">
        <f t="shared" si="32"/>
        <v>0</v>
      </c>
      <c r="AB119" s="101" t="str">
        <f>IFERROR(VLOOKUP(AA119,'Risk Matrices'!$A$35:$B$39,2,FALSE),"")</f>
        <v/>
      </c>
      <c r="AC119" s="49"/>
      <c r="AD119" s="101">
        <f t="shared" si="33"/>
        <v>0</v>
      </c>
      <c r="AE119" s="101">
        <f t="shared" si="20"/>
        <v>0</v>
      </c>
      <c r="AF119" s="102">
        <f t="shared" si="34"/>
        <v>0</v>
      </c>
      <c r="AG119" s="50"/>
      <c r="AH119" s="51"/>
      <c r="AI119" s="137"/>
      <c r="AJ119" s="49"/>
      <c r="AK119" s="49"/>
      <c r="AL119" s="101">
        <f t="shared" si="35"/>
        <v>0</v>
      </c>
      <c r="AM119" s="49"/>
      <c r="AN119" s="101">
        <f t="shared" si="36"/>
        <v>0</v>
      </c>
      <c r="AO119" s="101">
        <f t="shared" si="37"/>
        <v>0</v>
      </c>
      <c r="AP119" s="101">
        <f t="shared" si="38"/>
        <v>0</v>
      </c>
      <c r="AQ119" s="49"/>
      <c r="AR119" s="49"/>
      <c r="AS119" s="49"/>
      <c r="AT119" s="55"/>
      <c r="AU119" s="53"/>
      <c r="AV119" s="56"/>
      <c r="AW119" s="54"/>
    </row>
    <row r="120" spans="1:49" s="32" customFormat="1" ht="15.75" x14ac:dyDescent="0.2">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114">
        <f t="shared" si="32"/>
        <v>0</v>
      </c>
      <c r="AB120" s="101" t="str">
        <f>IFERROR(VLOOKUP(AA120,'Risk Matrices'!$A$35:$B$39,2,FALSE),"")</f>
        <v/>
      </c>
      <c r="AC120" s="49"/>
      <c r="AD120" s="101">
        <f t="shared" si="33"/>
        <v>0</v>
      </c>
      <c r="AE120" s="101">
        <f t="shared" si="20"/>
        <v>0</v>
      </c>
      <c r="AF120" s="102">
        <f t="shared" si="34"/>
        <v>0</v>
      </c>
      <c r="AG120" s="50"/>
      <c r="AH120" s="51"/>
      <c r="AI120" s="137"/>
      <c r="AJ120" s="49"/>
      <c r="AK120" s="49"/>
      <c r="AL120" s="101">
        <f t="shared" si="35"/>
        <v>0</v>
      </c>
      <c r="AM120" s="49"/>
      <c r="AN120" s="101">
        <f t="shared" si="36"/>
        <v>0</v>
      </c>
      <c r="AO120" s="101">
        <f t="shared" si="37"/>
        <v>0</v>
      </c>
      <c r="AP120" s="101">
        <f t="shared" si="38"/>
        <v>0</v>
      </c>
      <c r="AQ120" s="49"/>
      <c r="AR120" s="49"/>
      <c r="AS120" s="49"/>
      <c r="AT120" s="55"/>
      <c r="AU120" s="53"/>
      <c r="AV120" s="56"/>
      <c r="AW120" s="54"/>
    </row>
    <row r="121" spans="1:49" s="32" customFormat="1" ht="15.75" x14ac:dyDescent="0.2">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114">
        <f t="shared" si="32"/>
        <v>0</v>
      </c>
      <c r="AB121" s="101" t="str">
        <f>IFERROR(VLOOKUP(AA121,'Risk Matrices'!$A$35:$B$39,2,FALSE),"")</f>
        <v/>
      </c>
      <c r="AC121" s="49"/>
      <c r="AD121" s="101">
        <f t="shared" si="33"/>
        <v>0</v>
      </c>
      <c r="AE121" s="101">
        <f t="shared" si="20"/>
        <v>0</v>
      </c>
      <c r="AF121" s="102">
        <f t="shared" si="34"/>
        <v>0</v>
      </c>
      <c r="AG121" s="50"/>
      <c r="AH121" s="51"/>
      <c r="AI121" s="137"/>
      <c r="AJ121" s="49"/>
      <c r="AK121" s="49"/>
      <c r="AL121" s="101">
        <f t="shared" si="35"/>
        <v>0</v>
      </c>
      <c r="AM121" s="49"/>
      <c r="AN121" s="101">
        <f t="shared" si="36"/>
        <v>0</v>
      </c>
      <c r="AO121" s="101">
        <f t="shared" si="37"/>
        <v>0</v>
      </c>
      <c r="AP121" s="101">
        <f t="shared" si="38"/>
        <v>0</v>
      </c>
      <c r="AQ121" s="49"/>
      <c r="AR121" s="49"/>
      <c r="AS121" s="49"/>
      <c r="AT121" s="55"/>
      <c r="AU121" s="53"/>
      <c r="AV121" s="56"/>
      <c r="AW121" s="54"/>
    </row>
    <row r="122" spans="1:49" s="32" customFormat="1" ht="15.75" x14ac:dyDescent="0.2">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114">
        <f t="shared" si="32"/>
        <v>0</v>
      </c>
      <c r="AB122" s="101" t="str">
        <f>IFERROR(VLOOKUP(AA122,'Risk Matrices'!$A$35:$B$39,2,FALSE),"")</f>
        <v/>
      </c>
      <c r="AC122" s="49"/>
      <c r="AD122" s="101">
        <f t="shared" si="33"/>
        <v>0</v>
      </c>
      <c r="AE122" s="101">
        <f t="shared" si="20"/>
        <v>0</v>
      </c>
      <c r="AF122" s="102">
        <f t="shared" si="34"/>
        <v>0</v>
      </c>
      <c r="AG122" s="50"/>
      <c r="AH122" s="51"/>
      <c r="AI122" s="137"/>
      <c r="AJ122" s="49"/>
      <c r="AK122" s="49"/>
      <c r="AL122" s="101">
        <f t="shared" si="35"/>
        <v>0</v>
      </c>
      <c r="AM122" s="49"/>
      <c r="AN122" s="101">
        <f t="shared" si="36"/>
        <v>0</v>
      </c>
      <c r="AO122" s="101">
        <f t="shared" si="37"/>
        <v>0</v>
      </c>
      <c r="AP122" s="101">
        <f t="shared" si="38"/>
        <v>0</v>
      </c>
      <c r="AQ122" s="49"/>
      <c r="AR122" s="49"/>
      <c r="AS122" s="49"/>
      <c r="AT122" s="55"/>
      <c r="AU122" s="53"/>
      <c r="AV122" s="56"/>
      <c r="AW122" s="54"/>
    </row>
    <row r="123" spans="1:49" s="32" customFormat="1" ht="15.75" x14ac:dyDescent="0.2">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114">
        <f t="shared" si="32"/>
        <v>0</v>
      </c>
      <c r="AB123" s="101" t="str">
        <f>IFERROR(VLOOKUP(AA123,'Risk Matrices'!$A$35:$B$39,2,FALSE),"")</f>
        <v/>
      </c>
      <c r="AC123" s="49"/>
      <c r="AD123" s="101">
        <f t="shared" si="33"/>
        <v>0</v>
      </c>
      <c r="AE123" s="101">
        <f t="shared" si="20"/>
        <v>0</v>
      </c>
      <c r="AF123" s="102">
        <f t="shared" si="34"/>
        <v>0</v>
      </c>
      <c r="AG123" s="50"/>
      <c r="AH123" s="51"/>
      <c r="AI123" s="137"/>
      <c r="AJ123" s="49"/>
      <c r="AK123" s="49"/>
      <c r="AL123" s="101">
        <f t="shared" si="35"/>
        <v>0</v>
      </c>
      <c r="AM123" s="49"/>
      <c r="AN123" s="101">
        <f t="shared" si="36"/>
        <v>0</v>
      </c>
      <c r="AO123" s="101">
        <f t="shared" si="37"/>
        <v>0</v>
      </c>
      <c r="AP123" s="101">
        <f t="shared" si="38"/>
        <v>0</v>
      </c>
      <c r="AQ123" s="49"/>
      <c r="AR123" s="49"/>
      <c r="AS123" s="49"/>
      <c r="AT123" s="55"/>
      <c r="AU123" s="53"/>
      <c r="AV123" s="56"/>
      <c r="AW123" s="54"/>
    </row>
    <row r="124" spans="1:49" s="32" customFormat="1" ht="15.75" x14ac:dyDescent="0.2">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114">
        <f t="shared" si="32"/>
        <v>0</v>
      </c>
      <c r="AB124" s="101" t="str">
        <f>IFERROR(VLOOKUP(AA124,'Risk Matrices'!$A$35:$B$39,2,FALSE),"")</f>
        <v/>
      </c>
      <c r="AC124" s="49"/>
      <c r="AD124" s="101">
        <f t="shared" si="33"/>
        <v>0</v>
      </c>
      <c r="AE124" s="101">
        <f t="shared" si="20"/>
        <v>0</v>
      </c>
      <c r="AF124" s="102">
        <f t="shared" si="34"/>
        <v>0</v>
      </c>
      <c r="AG124" s="50"/>
      <c r="AH124" s="51"/>
      <c r="AI124" s="137"/>
      <c r="AJ124" s="49"/>
      <c r="AK124" s="49"/>
      <c r="AL124" s="101">
        <f t="shared" si="35"/>
        <v>0</v>
      </c>
      <c r="AM124" s="49"/>
      <c r="AN124" s="101">
        <f t="shared" si="36"/>
        <v>0</v>
      </c>
      <c r="AO124" s="101">
        <f t="shared" si="37"/>
        <v>0</v>
      </c>
      <c r="AP124" s="101">
        <f t="shared" si="38"/>
        <v>0</v>
      </c>
      <c r="AQ124" s="49"/>
      <c r="AR124" s="49"/>
      <c r="AS124" s="49"/>
      <c r="AT124" s="55"/>
      <c r="AU124" s="53"/>
      <c r="AV124" s="56"/>
      <c r="AW124" s="54"/>
    </row>
    <row r="125" spans="1:49" s="32" customFormat="1" ht="15.75" x14ac:dyDescent="0.2">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114">
        <f t="shared" si="32"/>
        <v>0</v>
      </c>
      <c r="AB125" s="101" t="str">
        <f>IFERROR(VLOOKUP(AA125,'Risk Matrices'!$A$35:$B$39,2,FALSE),"")</f>
        <v/>
      </c>
      <c r="AC125" s="49"/>
      <c r="AD125" s="101">
        <f t="shared" si="33"/>
        <v>0</v>
      </c>
      <c r="AE125" s="101">
        <f t="shared" si="20"/>
        <v>0</v>
      </c>
      <c r="AF125" s="102">
        <f t="shared" si="34"/>
        <v>0</v>
      </c>
      <c r="AG125" s="50"/>
      <c r="AH125" s="51"/>
      <c r="AI125" s="137"/>
      <c r="AJ125" s="49"/>
      <c r="AK125" s="49"/>
      <c r="AL125" s="101">
        <f t="shared" si="35"/>
        <v>0</v>
      </c>
      <c r="AM125" s="49"/>
      <c r="AN125" s="101">
        <f t="shared" si="36"/>
        <v>0</v>
      </c>
      <c r="AO125" s="101">
        <f t="shared" si="37"/>
        <v>0</v>
      </c>
      <c r="AP125" s="101">
        <f t="shared" si="38"/>
        <v>0</v>
      </c>
      <c r="AQ125" s="49"/>
      <c r="AR125" s="49"/>
      <c r="AS125" s="49"/>
      <c r="AT125" s="55"/>
      <c r="AU125" s="53"/>
      <c r="AV125" s="56"/>
      <c r="AW125" s="54"/>
    </row>
    <row r="126" spans="1:49" s="32" customFormat="1" ht="15.75" x14ac:dyDescent="0.2">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114">
        <f t="shared" si="32"/>
        <v>0</v>
      </c>
      <c r="AB126" s="101" t="str">
        <f>IFERROR(VLOOKUP(AA126,'Risk Matrices'!$A$35:$B$39,2,FALSE),"")</f>
        <v/>
      </c>
      <c r="AC126" s="49"/>
      <c r="AD126" s="101">
        <f t="shared" si="33"/>
        <v>0</v>
      </c>
      <c r="AE126" s="101">
        <f t="shared" si="20"/>
        <v>0</v>
      </c>
      <c r="AF126" s="102">
        <f t="shared" si="34"/>
        <v>0</v>
      </c>
      <c r="AG126" s="50"/>
      <c r="AH126" s="51"/>
      <c r="AI126" s="137"/>
      <c r="AJ126" s="49"/>
      <c r="AK126" s="49"/>
      <c r="AL126" s="101">
        <f t="shared" si="35"/>
        <v>0</v>
      </c>
      <c r="AM126" s="49"/>
      <c r="AN126" s="101">
        <f t="shared" si="36"/>
        <v>0</v>
      </c>
      <c r="AO126" s="101">
        <f t="shared" si="37"/>
        <v>0</v>
      </c>
      <c r="AP126" s="101">
        <f t="shared" si="38"/>
        <v>0</v>
      </c>
      <c r="AQ126" s="49"/>
      <c r="AR126" s="49"/>
      <c r="AS126" s="49"/>
      <c r="AT126" s="55"/>
      <c r="AU126" s="53"/>
      <c r="AV126" s="56"/>
      <c r="AW126" s="54"/>
    </row>
    <row r="127" spans="1:49" s="32" customFormat="1" ht="15.75" x14ac:dyDescent="0.2">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114">
        <f t="shared" si="32"/>
        <v>0</v>
      </c>
      <c r="AB127" s="101" t="str">
        <f>IFERROR(VLOOKUP(AA127,'Risk Matrices'!$A$35:$B$39,2,FALSE),"")</f>
        <v/>
      </c>
      <c r="AC127" s="49"/>
      <c r="AD127" s="101">
        <f t="shared" si="33"/>
        <v>0</v>
      </c>
      <c r="AE127" s="101">
        <f t="shared" si="20"/>
        <v>0</v>
      </c>
      <c r="AF127" s="102">
        <f t="shared" si="34"/>
        <v>0</v>
      </c>
      <c r="AG127" s="50"/>
      <c r="AH127" s="51"/>
      <c r="AI127" s="137"/>
      <c r="AJ127" s="49"/>
      <c r="AK127" s="49"/>
      <c r="AL127" s="101">
        <f t="shared" si="35"/>
        <v>0</v>
      </c>
      <c r="AM127" s="49"/>
      <c r="AN127" s="101">
        <f t="shared" si="36"/>
        <v>0</v>
      </c>
      <c r="AO127" s="101">
        <f t="shared" si="37"/>
        <v>0</v>
      </c>
      <c r="AP127" s="101">
        <f t="shared" si="38"/>
        <v>0</v>
      </c>
      <c r="AQ127" s="49"/>
      <c r="AR127" s="49"/>
      <c r="AS127" s="49"/>
      <c r="AT127" s="55"/>
      <c r="AU127" s="53"/>
      <c r="AV127" s="56"/>
      <c r="AW127" s="54"/>
    </row>
    <row r="128" spans="1:49" s="32" customFormat="1" ht="15.75" x14ac:dyDescent="0.2">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114">
        <f t="shared" si="32"/>
        <v>0</v>
      </c>
      <c r="AB128" s="101" t="str">
        <f>IFERROR(VLOOKUP(AA128,'Risk Matrices'!$A$35:$B$39,2,FALSE),"")</f>
        <v/>
      </c>
      <c r="AC128" s="49"/>
      <c r="AD128" s="101">
        <f t="shared" si="33"/>
        <v>0</v>
      </c>
      <c r="AE128" s="101">
        <f t="shared" si="20"/>
        <v>0</v>
      </c>
      <c r="AF128" s="102">
        <f t="shared" si="34"/>
        <v>0</v>
      </c>
      <c r="AG128" s="50"/>
      <c r="AH128" s="51"/>
      <c r="AI128" s="137"/>
      <c r="AJ128" s="49"/>
      <c r="AK128" s="49"/>
      <c r="AL128" s="101">
        <f t="shared" si="35"/>
        <v>0</v>
      </c>
      <c r="AM128" s="49"/>
      <c r="AN128" s="101">
        <f t="shared" si="36"/>
        <v>0</v>
      </c>
      <c r="AO128" s="101">
        <f t="shared" si="37"/>
        <v>0</v>
      </c>
      <c r="AP128" s="101">
        <f t="shared" si="38"/>
        <v>0</v>
      </c>
      <c r="AQ128" s="49"/>
      <c r="AR128" s="49"/>
      <c r="AS128" s="49"/>
      <c r="AT128" s="55"/>
      <c r="AU128" s="53"/>
      <c r="AV128" s="56"/>
      <c r="AW128" s="54"/>
    </row>
    <row r="129" spans="1:49" s="32" customFormat="1" ht="15.75" x14ac:dyDescent="0.2">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114">
        <f t="shared" si="32"/>
        <v>0</v>
      </c>
      <c r="AB129" s="101" t="str">
        <f>IFERROR(VLOOKUP(AA129,'Risk Matrices'!$A$35:$B$39,2,FALSE),"")</f>
        <v/>
      </c>
      <c r="AC129" s="49"/>
      <c r="AD129" s="101">
        <f t="shared" si="33"/>
        <v>0</v>
      </c>
      <c r="AE129" s="101">
        <f t="shared" si="20"/>
        <v>0</v>
      </c>
      <c r="AF129" s="102">
        <f t="shared" si="34"/>
        <v>0</v>
      </c>
      <c r="AG129" s="50"/>
      <c r="AH129" s="51"/>
      <c r="AI129" s="137"/>
      <c r="AJ129" s="49"/>
      <c r="AK129" s="49"/>
      <c r="AL129" s="101">
        <f t="shared" si="35"/>
        <v>0</v>
      </c>
      <c r="AM129" s="49"/>
      <c r="AN129" s="101">
        <f t="shared" si="36"/>
        <v>0</v>
      </c>
      <c r="AO129" s="101">
        <f t="shared" si="37"/>
        <v>0</v>
      </c>
      <c r="AP129" s="101">
        <f t="shared" si="38"/>
        <v>0</v>
      </c>
      <c r="AQ129" s="49"/>
      <c r="AR129" s="49"/>
      <c r="AS129" s="49"/>
      <c r="AT129" s="55"/>
      <c r="AU129" s="53"/>
      <c r="AV129" s="56"/>
      <c r="AW129" s="54"/>
    </row>
    <row r="130" spans="1:49" s="32" customFormat="1" ht="15.75" x14ac:dyDescent="0.2">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114">
        <f t="shared" si="32"/>
        <v>0</v>
      </c>
      <c r="AB130" s="101" t="str">
        <f>IFERROR(VLOOKUP(AA130,'Risk Matrices'!$A$35:$B$39,2,FALSE),"")</f>
        <v/>
      </c>
      <c r="AC130" s="49"/>
      <c r="AD130" s="101">
        <f t="shared" si="33"/>
        <v>0</v>
      </c>
      <c r="AE130" s="101">
        <f t="shared" si="20"/>
        <v>0</v>
      </c>
      <c r="AF130" s="102">
        <f t="shared" si="34"/>
        <v>0</v>
      </c>
      <c r="AG130" s="50"/>
      <c r="AH130" s="51"/>
      <c r="AI130" s="137"/>
      <c r="AJ130" s="49"/>
      <c r="AK130" s="49"/>
      <c r="AL130" s="101">
        <f t="shared" si="35"/>
        <v>0</v>
      </c>
      <c r="AM130" s="49"/>
      <c r="AN130" s="101">
        <f t="shared" si="36"/>
        <v>0</v>
      </c>
      <c r="AO130" s="101">
        <f t="shared" si="37"/>
        <v>0</v>
      </c>
      <c r="AP130" s="101">
        <f t="shared" si="38"/>
        <v>0</v>
      </c>
      <c r="AQ130" s="49"/>
      <c r="AR130" s="49"/>
      <c r="AS130" s="49"/>
      <c r="AT130" s="55"/>
      <c r="AU130" s="53"/>
      <c r="AV130" s="56"/>
      <c r="AW130" s="54"/>
    </row>
    <row r="131" spans="1:49" s="32" customFormat="1" ht="15.75" x14ac:dyDescent="0.2">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114">
        <f t="shared" si="32"/>
        <v>0</v>
      </c>
      <c r="AB131" s="101" t="str">
        <f>IFERROR(VLOOKUP(AA131,'Risk Matrices'!$A$35:$B$39,2,FALSE),"")</f>
        <v/>
      </c>
      <c r="AC131" s="49"/>
      <c r="AD131" s="101">
        <f t="shared" si="33"/>
        <v>0</v>
      </c>
      <c r="AE131" s="101">
        <f t="shared" si="20"/>
        <v>0</v>
      </c>
      <c r="AF131" s="102">
        <f t="shared" si="34"/>
        <v>0</v>
      </c>
      <c r="AG131" s="50"/>
      <c r="AH131" s="51"/>
      <c r="AI131" s="137"/>
      <c r="AJ131" s="49"/>
      <c r="AK131" s="49"/>
      <c r="AL131" s="101">
        <f t="shared" si="35"/>
        <v>0</v>
      </c>
      <c r="AM131" s="49"/>
      <c r="AN131" s="101">
        <f t="shared" si="36"/>
        <v>0</v>
      </c>
      <c r="AO131" s="101">
        <f t="shared" si="37"/>
        <v>0</v>
      </c>
      <c r="AP131" s="101">
        <f t="shared" si="38"/>
        <v>0</v>
      </c>
      <c r="AQ131" s="49"/>
      <c r="AR131" s="49"/>
      <c r="AS131" s="49"/>
      <c r="AT131" s="55"/>
      <c r="AU131" s="53"/>
      <c r="AV131" s="56"/>
      <c r="AW131" s="54"/>
    </row>
    <row r="132" spans="1:49" s="32" customFormat="1" ht="15.75" x14ac:dyDescent="0.2">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114">
        <f t="shared" si="32"/>
        <v>0</v>
      </c>
      <c r="AB132" s="101" t="str">
        <f>IFERROR(VLOOKUP(AA132,'Risk Matrices'!$A$35:$B$39,2,FALSE),"")</f>
        <v/>
      </c>
      <c r="AC132" s="49"/>
      <c r="AD132" s="101">
        <f t="shared" si="33"/>
        <v>0</v>
      </c>
      <c r="AE132" s="101">
        <f t="shared" ref="AE132:AE195" si="39">AA132*AC132</f>
        <v>0</v>
      </c>
      <c r="AF132" s="102">
        <f t="shared" si="34"/>
        <v>0</v>
      </c>
      <c r="AG132" s="50"/>
      <c r="AH132" s="51"/>
      <c r="AI132" s="137"/>
      <c r="AJ132" s="49"/>
      <c r="AK132" s="49"/>
      <c r="AL132" s="101">
        <f t="shared" si="35"/>
        <v>0</v>
      </c>
      <c r="AM132" s="49"/>
      <c r="AN132" s="101">
        <f t="shared" si="36"/>
        <v>0</v>
      </c>
      <c r="AO132" s="101">
        <f t="shared" si="37"/>
        <v>0</v>
      </c>
      <c r="AP132" s="101">
        <f t="shared" si="38"/>
        <v>0</v>
      </c>
      <c r="AQ132" s="49"/>
      <c r="AR132" s="49"/>
      <c r="AS132" s="49"/>
      <c r="AT132" s="55"/>
      <c r="AU132" s="53"/>
      <c r="AV132" s="56"/>
      <c r="AW132" s="54"/>
    </row>
    <row r="133" spans="1:49" s="32" customFormat="1" ht="15.75" x14ac:dyDescent="0.2">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114">
        <f t="shared" si="32"/>
        <v>0</v>
      </c>
      <c r="AB133" s="101" t="str">
        <f>IFERROR(VLOOKUP(AA133,'Risk Matrices'!$A$35:$B$39,2,FALSE),"")</f>
        <v/>
      </c>
      <c r="AC133" s="49"/>
      <c r="AD133" s="101">
        <f t="shared" si="33"/>
        <v>0</v>
      </c>
      <c r="AE133" s="101">
        <f t="shared" si="39"/>
        <v>0</v>
      </c>
      <c r="AF133" s="102">
        <f t="shared" si="34"/>
        <v>0</v>
      </c>
      <c r="AG133" s="50"/>
      <c r="AH133" s="51"/>
      <c r="AI133" s="137"/>
      <c r="AJ133" s="49"/>
      <c r="AK133" s="49"/>
      <c r="AL133" s="101">
        <f t="shared" si="35"/>
        <v>0</v>
      </c>
      <c r="AM133" s="49"/>
      <c r="AN133" s="101">
        <f t="shared" si="36"/>
        <v>0</v>
      </c>
      <c r="AO133" s="101">
        <f t="shared" si="37"/>
        <v>0</v>
      </c>
      <c r="AP133" s="101">
        <f t="shared" si="38"/>
        <v>0</v>
      </c>
      <c r="AQ133" s="49"/>
      <c r="AR133" s="49"/>
      <c r="AS133" s="49"/>
      <c r="AT133" s="55"/>
      <c r="AU133" s="53"/>
      <c r="AV133" s="56"/>
      <c r="AW133" s="54"/>
    </row>
    <row r="134" spans="1:49" s="32" customFormat="1" ht="15.75" x14ac:dyDescent="0.2">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114">
        <f t="shared" si="32"/>
        <v>0</v>
      </c>
      <c r="AB134" s="101" t="str">
        <f>IFERROR(VLOOKUP(AA134,'Risk Matrices'!$A$35:$B$39,2,FALSE),"")</f>
        <v/>
      </c>
      <c r="AC134" s="49"/>
      <c r="AD134" s="101">
        <f t="shared" si="33"/>
        <v>0</v>
      </c>
      <c r="AE134" s="101">
        <f t="shared" si="39"/>
        <v>0</v>
      </c>
      <c r="AF134" s="102">
        <f t="shared" si="34"/>
        <v>0</v>
      </c>
      <c r="AG134" s="50"/>
      <c r="AH134" s="51"/>
      <c r="AI134" s="137"/>
      <c r="AJ134" s="49"/>
      <c r="AK134" s="49"/>
      <c r="AL134" s="101">
        <f t="shared" si="35"/>
        <v>0</v>
      </c>
      <c r="AM134" s="49"/>
      <c r="AN134" s="101">
        <f t="shared" si="36"/>
        <v>0</v>
      </c>
      <c r="AO134" s="101">
        <f t="shared" si="37"/>
        <v>0</v>
      </c>
      <c r="AP134" s="101">
        <f t="shared" si="38"/>
        <v>0</v>
      </c>
      <c r="AQ134" s="49"/>
      <c r="AR134" s="49"/>
      <c r="AS134" s="49"/>
      <c r="AT134" s="55"/>
      <c r="AU134" s="53"/>
      <c r="AV134" s="56"/>
      <c r="AW134" s="54"/>
    </row>
    <row r="135" spans="1:49" s="32" customFormat="1" ht="15.75" x14ac:dyDescent="0.2">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114">
        <f t="shared" si="32"/>
        <v>0</v>
      </c>
      <c r="AB135" s="101" t="str">
        <f>IFERROR(VLOOKUP(AA135,'Risk Matrices'!$A$35:$B$39,2,FALSE),"")</f>
        <v/>
      </c>
      <c r="AC135" s="49"/>
      <c r="AD135" s="101">
        <f t="shared" si="33"/>
        <v>0</v>
      </c>
      <c r="AE135" s="101">
        <f t="shared" si="39"/>
        <v>0</v>
      </c>
      <c r="AF135" s="102">
        <f t="shared" si="34"/>
        <v>0</v>
      </c>
      <c r="AG135" s="50"/>
      <c r="AH135" s="51"/>
      <c r="AI135" s="137"/>
      <c r="AJ135" s="49"/>
      <c r="AK135" s="49"/>
      <c r="AL135" s="101">
        <f t="shared" si="35"/>
        <v>0</v>
      </c>
      <c r="AM135" s="49"/>
      <c r="AN135" s="101">
        <f t="shared" si="36"/>
        <v>0</v>
      </c>
      <c r="AO135" s="101">
        <f t="shared" si="37"/>
        <v>0</v>
      </c>
      <c r="AP135" s="101">
        <f t="shared" si="38"/>
        <v>0</v>
      </c>
      <c r="AQ135" s="49"/>
      <c r="AR135" s="49"/>
      <c r="AS135" s="49"/>
      <c r="AT135" s="55"/>
      <c r="AU135" s="53"/>
      <c r="AV135" s="56"/>
      <c r="AW135" s="54"/>
    </row>
    <row r="136" spans="1:49" s="32" customFormat="1" ht="15.75" x14ac:dyDescent="0.2">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114">
        <f t="shared" si="32"/>
        <v>0</v>
      </c>
      <c r="AB136" s="101" t="str">
        <f>IFERROR(VLOOKUP(AA136,'Risk Matrices'!$A$35:$B$39,2,FALSE),"")</f>
        <v/>
      </c>
      <c r="AC136" s="49"/>
      <c r="AD136" s="101">
        <f t="shared" si="33"/>
        <v>0</v>
      </c>
      <c r="AE136" s="101">
        <f t="shared" si="39"/>
        <v>0</v>
      </c>
      <c r="AF136" s="102">
        <f t="shared" si="34"/>
        <v>0</v>
      </c>
      <c r="AG136" s="50"/>
      <c r="AH136" s="51"/>
      <c r="AI136" s="137"/>
      <c r="AJ136" s="49"/>
      <c r="AK136" s="49"/>
      <c r="AL136" s="101">
        <f t="shared" si="35"/>
        <v>0</v>
      </c>
      <c r="AM136" s="49"/>
      <c r="AN136" s="101">
        <f t="shared" si="36"/>
        <v>0</v>
      </c>
      <c r="AO136" s="101">
        <f t="shared" si="37"/>
        <v>0</v>
      </c>
      <c r="AP136" s="101">
        <f t="shared" si="38"/>
        <v>0</v>
      </c>
      <c r="AQ136" s="49"/>
      <c r="AR136" s="49"/>
      <c r="AS136" s="49"/>
      <c r="AT136" s="55"/>
      <c r="AU136" s="53"/>
      <c r="AV136" s="56"/>
      <c r="AW136" s="54"/>
    </row>
    <row r="137" spans="1:49" s="32" customFormat="1" ht="15.75" x14ac:dyDescent="0.2">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114">
        <f t="shared" si="32"/>
        <v>0</v>
      </c>
      <c r="AB137" s="101" t="str">
        <f>IFERROR(VLOOKUP(AA137,'Risk Matrices'!$A$35:$B$39,2,FALSE),"")</f>
        <v/>
      </c>
      <c r="AC137" s="49"/>
      <c r="AD137" s="101">
        <f t="shared" si="33"/>
        <v>0</v>
      </c>
      <c r="AE137" s="101">
        <f t="shared" si="39"/>
        <v>0</v>
      </c>
      <c r="AF137" s="102">
        <f t="shared" si="34"/>
        <v>0</v>
      </c>
      <c r="AG137" s="50"/>
      <c r="AH137" s="51"/>
      <c r="AI137" s="137"/>
      <c r="AJ137" s="49"/>
      <c r="AK137" s="49"/>
      <c r="AL137" s="101">
        <f t="shared" si="35"/>
        <v>0</v>
      </c>
      <c r="AM137" s="49"/>
      <c r="AN137" s="101">
        <f t="shared" si="36"/>
        <v>0</v>
      </c>
      <c r="AO137" s="101">
        <f t="shared" si="37"/>
        <v>0</v>
      </c>
      <c r="AP137" s="101">
        <f t="shared" si="38"/>
        <v>0</v>
      </c>
      <c r="AQ137" s="49"/>
      <c r="AR137" s="49"/>
      <c r="AS137" s="49"/>
      <c r="AT137" s="55"/>
      <c r="AU137" s="53"/>
      <c r="AV137" s="56"/>
      <c r="AW137" s="54"/>
    </row>
    <row r="138" spans="1:49" s="32" customFormat="1" ht="15.75" x14ac:dyDescent="0.2">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114">
        <f t="shared" si="32"/>
        <v>0</v>
      </c>
      <c r="AB138" s="101" t="str">
        <f>IFERROR(VLOOKUP(AA138,'Risk Matrices'!$A$35:$B$39,2,FALSE),"")</f>
        <v/>
      </c>
      <c r="AC138" s="49"/>
      <c r="AD138" s="101">
        <f t="shared" si="33"/>
        <v>0</v>
      </c>
      <c r="AE138" s="101">
        <f t="shared" si="39"/>
        <v>0</v>
      </c>
      <c r="AF138" s="102">
        <f t="shared" si="34"/>
        <v>0</v>
      </c>
      <c r="AG138" s="50"/>
      <c r="AH138" s="51"/>
      <c r="AI138" s="137"/>
      <c r="AJ138" s="49"/>
      <c r="AK138" s="49"/>
      <c r="AL138" s="101">
        <f t="shared" si="35"/>
        <v>0</v>
      </c>
      <c r="AM138" s="49"/>
      <c r="AN138" s="101">
        <f t="shared" si="36"/>
        <v>0</v>
      </c>
      <c r="AO138" s="101">
        <f t="shared" si="37"/>
        <v>0</v>
      </c>
      <c r="AP138" s="101">
        <f t="shared" si="38"/>
        <v>0</v>
      </c>
      <c r="AQ138" s="49"/>
      <c r="AR138" s="49"/>
      <c r="AS138" s="49"/>
      <c r="AT138" s="55"/>
      <c r="AU138" s="53"/>
      <c r="AV138" s="56"/>
      <c r="AW138" s="54"/>
    </row>
    <row r="139" spans="1:49" s="32" customFormat="1" ht="15.75" x14ac:dyDescent="0.2">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114">
        <f t="shared" si="32"/>
        <v>0</v>
      </c>
      <c r="AB139" s="101" t="str">
        <f>IFERROR(VLOOKUP(AA139,'Risk Matrices'!$A$35:$B$39,2,FALSE),"")</f>
        <v/>
      </c>
      <c r="AC139" s="49"/>
      <c r="AD139" s="101">
        <f t="shared" si="33"/>
        <v>0</v>
      </c>
      <c r="AE139" s="101">
        <f t="shared" si="39"/>
        <v>0</v>
      </c>
      <c r="AF139" s="102">
        <f t="shared" si="34"/>
        <v>0</v>
      </c>
      <c r="AG139" s="50"/>
      <c r="AH139" s="51"/>
      <c r="AI139" s="137"/>
      <c r="AJ139" s="49"/>
      <c r="AK139" s="49"/>
      <c r="AL139" s="101">
        <f t="shared" si="35"/>
        <v>0</v>
      </c>
      <c r="AM139" s="49"/>
      <c r="AN139" s="101">
        <f t="shared" si="36"/>
        <v>0</v>
      </c>
      <c r="AO139" s="101">
        <f t="shared" si="37"/>
        <v>0</v>
      </c>
      <c r="AP139" s="101">
        <f t="shared" si="38"/>
        <v>0</v>
      </c>
      <c r="AQ139" s="49"/>
      <c r="AR139" s="49"/>
      <c r="AS139" s="49"/>
      <c r="AT139" s="55"/>
      <c r="AU139" s="53"/>
      <c r="AV139" s="56"/>
      <c r="AW139" s="54"/>
    </row>
    <row r="140" spans="1:49" s="32" customFormat="1" ht="15.75" x14ac:dyDescent="0.2">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114">
        <f t="shared" si="32"/>
        <v>0</v>
      </c>
      <c r="AB140" s="101" t="str">
        <f>IFERROR(VLOOKUP(AA140,'Risk Matrices'!$A$35:$B$39,2,FALSE),"")</f>
        <v/>
      </c>
      <c r="AC140" s="49"/>
      <c r="AD140" s="101">
        <f t="shared" si="33"/>
        <v>0</v>
      </c>
      <c r="AE140" s="101">
        <f t="shared" si="39"/>
        <v>0</v>
      </c>
      <c r="AF140" s="102">
        <f t="shared" si="34"/>
        <v>0</v>
      </c>
      <c r="AG140" s="50"/>
      <c r="AH140" s="51"/>
      <c r="AI140" s="137"/>
      <c r="AJ140" s="49"/>
      <c r="AK140" s="49"/>
      <c r="AL140" s="101">
        <f t="shared" si="35"/>
        <v>0</v>
      </c>
      <c r="AM140" s="49"/>
      <c r="AN140" s="101">
        <f t="shared" si="36"/>
        <v>0</v>
      </c>
      <c r="AO140" s="101">
        <f t="shared" si="37"/>
        <v>0</v>
      </c>
      <c r="AP140" s="101">
        <f t="shared" si="38"/>
        <v>0</v>
      </c>
      <c r="AQ140" s="49"/>
      <c r="AR140" s="49"/>
      <c r="AS140" s="49"/>
      <c r="AT140" s="55"/>
      <c r="AU140" s="53"/>
      <c r="AV140" s="56"/>
      <c r="AW140" s="54"/>
    </row>
    <row r="141" spans="1:49" s="32" customFormat="1" ht="15.75" x14ac:dyDescent="0.2">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114">
        <f t="shared" si="32"/>
        <v>0</v>
      </c>
      <c r="AB141" s="101" t="str">
        <f>IFERROR(VLOOKUP(AA141,'Risk Matrices'!$A$35:$B$39,2,FALSE),"")</f>
        <v/>
      </c>
      <c r="AC141" s="49"/>
      <c r="AD141" s="101">
        <f t="shared" si="33"/>
        <v>0</v>
      </c>
      <c r="AE141" s="101">
        <f t="shared" si="39"/>
        <v>0</v>
      </c>
      <c r="AF141" s="102">
        <f t="shared" si="34"/>
        <v>0</v>
      </c>
      <c r="AG141" s="50"/>
      <c r="AH141" s="51"/>
      <c r="AI141" s="137"/>
      <c r="AJ141" s="49"/>
      <c r="AK141" s="49"/>
      <c r="AL141" s="101">
        <f t="shared" si="35"/>
        <v>0</v>
      </c>
      <c r="AM141" s="49"/>
      <c r="AN141" s="101">
        <f t="shared" si="36"/>
        <v>0</v>
      </c>
      <c r="AO141" s="101">
        <f t="shared" si="37"/>
        <v>0</v>
      </c>
      <c r="AP141" s="101">
        <f t="shared" si="38"/>
        <v>0</v>
      </c>
      <c r="AQ141" s="49"/>
      <c r="AR141" s="49"/>
      <c r="AS141" s="49"/>
      <c r="AT141" s="55"/>
      <c r="AU141" s="53"/>
      <c r="AV141" s="56"/>
      <c r="AW141" s="54"/>
    </row>
    <row r="142" spans="1:49" s="32" customFormat="1" ht="15.75" x14ac:dyDescent="0.2">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114">
        <f t="shared" si="32"/>
        <v>0</v>
      </c>
      <c r="AB142" s="101" t="str">
        <f>IFERROR(VLOOKUP(AA142,'Risk Matrices'!$A$35:$B$39,2,FALSE),"")</f>
        <v/>
      </c>
      <c r="AC142" s="49"/>
      <c r="AD142" s="101">
        <f t="shared" si="33"/>
        <v>0</v>
      </c>
      <c r="AE142" s="101">
        <f t="shared" si="39"/>
        <v>0</v>
      </c>
      <c r="AF142" s="102">
        <f t="shared" si="34"/>
        <v>0</v>
      </c>
      <c r="AG142" s="50"/>
      <c r="AH142" s="51"/>
      <c r="AI142" s="137"/>
      <c r="AJ142" s="49"/>
      <c r="AK142" s="49"/>
      <c r="AL142" s="101">
        <f t="shared" si="35"/>
        <v>0</v>
      </c>
      <c r="AM142" s="49"/>
      <c r="AN142" s="101">
        <f t="shared" si="36"/>
        <v>0</v>
      </c>
      <c r="AO142" s="101">
        <f t="shared" si="37"/>
        <v>0</v>
      </c>
      <c r="AP142" s="101">
        <f t="shared" si="38"/>
        <v>0</v>
      </c>
      <c r="AQ142" s="49"/>
      <c r="AR142" s="49"/>
      <c r="AS142" s="49"/>
      <c r="AT142" s="55"/>
      <c r="AU142" s="53"/>
      <c r="AV142" s="56"/>
      <c r="AW142" s="54"/>
    </row>
    <row r="143" spans="1:49" s="32" customFormat="1" ht="15.75" x14ac:dyDescent="0.2">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114">
        <f t="shared" si="32"/>
        <v>0</v>
      </c>
      <c r="AB143" s="101" t="str">
        <f>IFERROR(VLOOKUP(AA143,'Risk Matrices'!$A$35:$B$39,2,FALSE),"")</f>
        <v/>
      </c>
      <c r="AC143" s="49"/>
      <c r="AD143" s="101">
        <f t="shared" si="33"/>
        <v>0</v>
      </c>
      <c r="AE143" s="101">
        <f t="shared" si="39"/>
        <v>0</v>
      </c>
      <c r="AF143" s="102">
        <f t="shared" si="34"/>
        <v>0</v>
      </c>
      <c r="AG143" s="50"/>
      <c r="AH143" s="51"/>
      <c r="AI143" s="137"/>
      <c r="AJ143" s="49"/>
      <c r="AK143" s="49"/>
      <c r="AL143" s="101">
        <f t="shared" si="35"/>
        <v>0</v>
      </c>
      <c r="AM143" s="49"/>
      <c r="AN143" s="101">
        <f t="shared" si="36"/>
        <v>0</v>
      </c>
      <c r="AO143" s="101">
        <f t="shared" si="37"/>
        <v>0</v>
      </c>
      <c r="AP143" s="101">
        <f t="shared" si="38"/>
        <v>0</v>
      </c>
      <c r="AQ143" s="49"/>
      <c r="AR143" s="49"/>
      <c r="AS143" s="49"/>
      <c r="AT143" s="55"/>
      <c r="AU143" s="53"/>
      <c r="AV143" s="56"/>
      <c r="AW143" s="54"/>
    </row>
    <row r="144" spans="1:49" s="32" customFormat="1" ht="15.75" x14ac:dyDescent="0.2">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114">
        <f t="shared" si="32"/>
        <v>0</v>
      </c>
      <c r="AB144" s="101" t="str">
        <f>IFERROR(VLOOKUP(AA144,'Risk Matrices'!$A$35:$B$39,2,FALSE),"")</f>
        <v/>
      </c>
      <c r="AC144" s="49"/>
      <c r="AD144" s="101">
        <f t="shared" si="33"/>
        <v>0</v>
      </c>
      <c r="AE144" s="101">
        <f t="shared" si="39"/>
        <v>0</v>
      </c>
      <c r="AF144" s="102">
        <f t="shared" si="34"/>
        <v>0</v>
      </c>
      <c r="AG144" s="50"/>
      <c r="AH144" s="51"/>
      <c r="AI144" s="137"/>
      <c r="AJ144" s="49"/>
      <c r="AK144" s="49"/>
      <c r="AL144" s="101">
        <f t="shared" si="35"/>
        <v>0</v>
      </c>
      <c r="AM144" s="49"/>
      <c r="AN144" s="101">
        <f t="shared" si="36"/>
        <v>0</v>
      </c>
      <c r="AO144" s="101">
        <f t="shared" si="37"/>
        <v>0</v>
      </c>
      <c r="AP144" s="101">
        <f t="shared" si="38"/>
        <v>0</v>
      </c>
      <c r="AQ144" s="49"/>
      <c r="AR144" s="49"/>
      <c r="AS144" s="49"/>
      <c r="AT144" s="55"/>
      <c r="AU144" s="53"/>
      <c r="AV144" s="56"/>
      <c r="AW144" s="54"/>
    </row>
    <row r="145" spans="1:49" s="32" customFormat="1" ht="15.75" x14ac:dyDescent="0.2">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114">
        <f t="shared" si="32"/>
        <v>0</v>
      </c>
      <c r="AB145" s="101" t="str">
        <f>IFERROR(VLOOKUP(AA145,'Risk Matrices'!$A$35:$B$39,2,FALSE),"")</f>
        <v/>
      </c>
      <c r="AC145" s="49"/>
      <c r="AD145" s="101">
        <f t="shared" si="33"/>
        <v>0</v>
      </c>
      <c r="AE145" s="101">
        <f t="shared" si="39"/>
        <v>0</v>
      </c>
      <c r="AF145" s="102">
        <f t="shared" si="34"/>
        <v>0</v>
      </c>
      <c r="AG145" s="50"/>
      <c r="AH145" s="51"/>
      <c r="AI145" s="137"/>
      <c r="AJ145" s="49"/>
      <c r="AK145" s="49"/>
      <c r="AL145" s="101">
        <f t="shared" si="35"/>
        <v>0</v>
      </c>
      <c r="AM145" s="49"/>
      <c r="AN145" s="101">
        <f t="shared" si="36"/>
        <v>0</v>
      </c>
      <c r="AO145" s="101">
        <f t="shared" si="37"/>
        <v>0</v>
      </c>
      <c r="AP145" s="101">
        <f t="shared" si="38"/>
        <v>0</v>
      </c>
      <c r="AQ145" s="49"/>
      <c r="AR145" s="49"/>
      <c r="AS145" s="49"/>
      <c r="AT145" s="55"/>
      <c r="AU145" s="53"/>
      <c r="AV145" s="56"/>
      <c r="AW145" s="54"/>
    </row>
    <row r="146" spans="1:49" s="32" customFormat="1" ht="15.75" x14ac:dyDescent="0.2">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114">
        <f t="shared" si="32"/>
        <v>0</v>
      </c>
      <c r="AB146" s="101" t="str">
        <f>IFERROR(VLOOKUP(AA146,'Risk Matrices'!$A$35:$B$39,2,FALSE),"")</f>
        <v/>
      </c>
      <c r="AC146" s="49"/>
      <c r="AD146" s="101">
        <f t="shared" si="33"/>
        <v>0</v>
      </c>
      <c r="AE146" s="101">
        <f t="shared" si="39"/>
        <v>0</v>
      </c>
      <c r="AF146" s="102">
        <f t="shared" si="34"/>
        <v>0</v>
      </c>
      <c r="AG146" s="50"/>
      <c r="AH146" s="51"/>
      <c r="AI146" s="137"/>
      <c r="AJ146" s="49"/>
      <c r="AK146" s="49"/>
      <c r="AL146" s="101">
        <f t="shared" si="35"/>
        <v>0</v>
      </c>
      <c r="AM146" s="49"/>
      <c r="AN146" s="101">
        <f t="shared" si="36"/>
        <v>0</v>
      </c>
      <c r="AO146" s="101">
        <f t="shared" si="37"/>
        <v>0</v>
      </c>
      <c r="AP146" s="101">
        <f t="shared" si="38"/>
        <v>0</v>
      </c>
      <c r="AQ146" s="49"/>
      <c r="AR146" s="49"/>
      <c r="AS146" s="49"/>
      <c r="AT146" s="55"/>
      <c r="AU146" s="53"/>
      <c r="AV146" s="56"/>
      <c r="AW146" s="54"/>
    </row>
    <row r="147" spans="1:49" s="32" customFormat="1" ht="15.75" x14ac:dyDescent="0.2">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114">
        <f t="shared" si="32"/>
        <v>0</v>
      </c>
      <c r="AB147" s="101" t="str">
        <f>IFERROR(VLOOKUP(AA147,'Risk Matrices'!$A$35:$B$39,2,FALSE),"")</f>
        <v/>
      </c>
      <c r="AC147" s="49"/>
      <c r="AD147" s="101">
        <f t="shared" si="33"/>
        <v>0</v>
      </c>
      <c r="AE147" s="101">
        <f t="shared" si="39"/>
        <v>0</v>
      </c>
      <c r="AF147" s="102">
        <f t="shared" si="34"/>
        <v>0</v>
      </c>
      <c r="AG147" s="50"/>
      <c r="AH147" s="51"/>
      <c r="AI147" s="137"/>
      <c r="AJ147" s="49"/>
      <c r="AK147" s="49"/>
      <c r="AL147" s="101">
        <f t="shared" si="35"/>
        <v>0</v>
      </c>
      <c r="AM147" s="49"/>
      <c r="AN147" s="101">
        <f t="shared" si="36"/>
        <v>0</v>
      </c>
      <c r="AO147" s="101">
        <f t="shared" si="37"/>
        <v>0</v>
      </c>
      <c r="AP147" s="101">
        <f t="shared" si="38"/>
        <v>0</v>
      </c>
      <c r="AQ147" s="49"/>
      <c r="AR147" s="49"/>
      <c r="AS147" s="49"/>
      <c r="AT147" s="55"/>
      <c r="AU147" s="53"/>
      <c r="AV147" s="56"/>
      <c r="AW147" s="54"/>
    </row>
    <row r="148" spans="1:49" s="32" customFormat="1" ht="15.75" x14ac:dyDescent="0.2">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114">
        <f t="shared" si="32"/>
        <v>0</v>
      </c>
      <c r="AB148" s="101" t="str">
        <f>IFERROR(VLOOKUP(AA148,'Risk Matrices'!$A$35:$B$39,2,FALSE),"")</f>
        <v/>
      </c>
      <c r="AC148" s="49"/>
      <c r="AD148" s="101">
        <f t="shared" si="33"/>
        <v>0</v>
      </c>
      <c r="AE148" s="101">
        <f t="shared" si="39"/>
        <v>0</v>
      </c>
      <c r="AF148" s="102">
        <f t="shared" si="34"/>
        <v>0</v>
      </c>
      <c r="AG148" s="50"/>
      <c r="AH148" s="51"/>
      <c r="AI148" s="137"/>
      <c r="AJ148" s="49"/>
      <c r="AK148" s="49"/>
      <c r="AL148" s="101">
        <f t="shared" si="35"/>
        <v>0</v>
      </c>
      <c r="AM148" s="49"/>
      <c r="AN148" s="101">
        <f t="shared" si="36"/>
        <v>0</v>
      </c>
      <c r="AO148" s="101">
        <f t="shared" si="37"/>
        <v>0</v>
      </c>
      <c r="AP148" s="101">
        <f t="shared" si="38"/>
        <v>0</v>
      </c>
      <c r="AQ148" s="49"/>
      <c r="AR148" s="49"/>
      <c r="AS148" s="49"/>
      <c r="AT148" s="55"/>
      <c r="AU148" s="53"/>
      <c r="AV148" s="56"/>
      <c r="AW148" s="54"/>
    </row>
    <row r="149" spans="1:49" s="32" customFormat="1" ht="15.75" x14ac:dyDescent="0.2">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114">
        <f t="shared" si="32"/>
        <v>0</v>
      </c>
      <c r="AB149" s="101" t="str">
        <f>IFERROR(VLOOKUP(AA149,'Risk Matrices'!$A$35:$B$39,2,FALSE),"")</f>
        <v/>
      </c>
      <c r="AC149" s="49"/>
      <c r="AD149" s="101">
        <f t="shared" si="33"/>
        <v>0</v>
      </c>
      <c r="AE149" s="101">
        <f t="shared" si="39"/>
        <v>0</v>
      </c>
      <c r="AF149" s="102">
        <f t="shared" si="34"/>
        <v>0</v>
      </c>
      <c r="AG149" s="50"/>
      <c r="AH149" s="51"/>
      <c r="AI149" s="137"/>
      <c r="AJ149" s="49"/>
      <c r="AK149" s="49"/>
      <c r="AL149" s="101">
        <f t="shared" si="35"/>
        <v>0</v>
      </c>
      <c r="AM149" s="49"/>
      <c r="AN149" s="101">
        <f t="shared" si="36"/>
        <v>0</v>
      </c>
      <c r="AO149" s="101">
        <f t="shared" si="37"/>
        <v>0</v>
      </c>
      <c r="AP149" s="101">
        <f t="shared" si="38"/>
        <v>0</v>
      </c>
      <c r="AQ149" s="49"/>
      <c r="AR149" s="49"/>
      <c r="AS149" s="49"/>
      <c r="AT149" s="55"/>
      <c r="AU149" s="53"/>
      <c r="AV149" s="56"/>
      <c r="AW149" s="54"/>
    </row>
    <row r="150" spans="1:49" s="32" customFormat="1" ht="15.75" x14ac:dyDescent="0.2">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114">
        <f t="shared" si="32"/>
        <v>0</v>
      </c>
      <c r="AB150" s="101" t="str">
        <f>IFERROR(VLOOKUP(AA150,'Risk Matrices'!$A$35:$B$39,2,FALSE),"")</f>
        <v/>
      </c>
      <c r="AC150" s="49"/>
      <c r="AD150" s="101">
        <f t="shared" si="33"/>
        <v>0</v>
      </c>
      <c r="AE150" s="101">
        <f t="shared" si="39"/>
        <v>0</v>
      </c>
      <c r="AF150" s="102">
        <f t="shared" si="34"/>
        <v>0</v>
      </c>
      <c r="AG150" s="50"/>
      <c r="AH150" s="51"/>
      <c r="AI150" s="137"/>
      <c r="AJ150" s="49"/>
      <c r="AK150" s="49"/>
      <c r="AL150" s="101">
        <f t="shared" si="35"/>
        <v>0</v>
      </c>
      <c r="AM150" s="49"/>
      <c r="AN150" s="101">
        <f t="shared" si="36"/>
        <v>0</v>
      </c>
      <c r="AO150" s="101">
        <f t="shared" si="37"/>
        <v>0</v>
      </c>
      <c r="AP150" s="101">
        <f t="shared" si="38"/>
        <v>0</v>
      </c>
      <c r="AQ150" s="49"/>
      <c r="AR150" s="49"/>
      <c r="AS150" s="49"/>
      <c r="AT150" s="55"/>
      <c r="AU150" s="53"/>
      <c r="AV150" s="56"/>
      <c r="AW150" s="54"/>
    </row>
    <row r="151" spans="1:49" s="32" customFormat="1" ht="15.75" x14ac:dyDescent="0.2">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114">
        <f t="shared" si="32"/>
        <v>0</v>
      </c>
      <c r="AB151" s="101" t="str">
        <f>IFERROR(VLOOKUP(AA151,'Risk Matrices'!$A$35:$B$39,2,FALSE),"")</f>
        <v/>
      </c>
      <c r="AC151" s="49"/>
      <c r="AD151" s="101">
        <f t="shared" si="33"/>
        <v>0</v>
      </c>
      <c r="AE151" s="101">
        <f t="shared" si="39"/>
        <v>0</v>
      </c>
      <c r="AF151" s="102">
        <f t="shared" si="34"/>
        <v>0</v>
      </c>
      <c r="AG151" s="50"/>
      <c r="AH151" s="51"/>
      <c r="AI151" s="137"/>
      <c r="AJ151" s="49"/>
      <c r="AK151" s="49"/>
      <c r="AL151" s="101">
        <f t="shared" si="35"/>
        <v>0</v>
      </c>
      <c r="AM151" s="49"/>
      <c r="AN151" s="101">
        <f t="shared" si="36"/>
        <v>0</v>
      </c>
      <c r="AO151" s="101">
        <f t="shared" si="37"/>
        <v>0</v>
      </c>
      <c r="AP151" s="101">
        <f t="shared" si="38"/>
        <v>0</v>
      </c>
      <c r="AQ151" s="49"/>
      <c r="AR151" s="49"/>
      <c r="AS151" s="49"/>
      <c r="AT151" s="55"/>
      <c r="AU151" s="53"/>
      <c r="AV151" s="56"/>
      <c r="AW151" s="54"/>
    </row>
    <row r="152" spans="1:49" s="32" customFormat="1" ht="15.75" x14ac:dyDescent="0.2">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114">
        <f t="shared" si="32"/>
        <v>0</v>
      </c>
      <c r="AB152" s="101" t="str">
        <f>IFERROR(VLOOKUP(AA152,'Risk Matrices'!$A$35:$B$39,2,FALSE),"")</f>
        <v/>
      </c>
      <c r="AC152" s="49"/>
      <c r="AD152" s="101">
        <f t="shared" si="33"/>
        <v>0</v>
      </c>
      <c r="AE152" s="101">
        <f t="shared" si="39"/>
        <v>0</v>
      </c>
      <c r="AF152" s="102">
        <f t="shared" si="34"/>
        <v>0</v>
      </c>
      <c r="AG152" s="50"/>
      <c r="AH152" s="51"/>
      <c r="AI152" s="137"/>
      <c r="AJ152" s="49"/>
      <c r="AK152" s="49"/>
      <c r="AL152" s="101">
        <f t="shared" si="35"/>
        <v>0</v>
      </c>
      <c r="AM152" s="49"/>
      <c r="AN152" s="101">
        <f t="shared" si="36"/>
        <v>0</v>
      </c>
      <c r="AO152" s="101">
        <f t="shared" si="37"/>
        <v>0</v>
      </c>
      <c r="AP152" s="101">
        <f t="shared" si="38"/>
        <v>0</v>
      </c>
      <c r="AQ152" s="49"/>
      <c r="AR152" s="49"/>
      <c r="AS152" s="49"/>
      <c r="AT152" s="55"/>
      <c r="AU152" s="53"/>
      <c r="AV152" s="56"/>
      <c r="AW152" s="54"/>
    </row>
    <row r="153" spans="1:49" s="32" customFormat="1" ht="15.75" x14ac:dyDescent="0.2">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114">
        <f t="shared" si="32"/>
        <v>0</v>
      </c>
      <c r="AB153" s="101" t="str">
        <f>IFERROR(VLOOKUP(AA153,'Risk Matrices'!$A$35:$B$39,2,FALSE),"")</f>
        <v/>
      </c>
      <c r="AC153" s="49"/>
      <c r="AD153" s="101">
        <f t="shared" si="33"/>
        <v>0</v>
      </c>
      <c r="AE153" s="101">
        <f t="shared" si="39"/>
        <v>0</v>
      </c>
      <c r="AF153" s="102">
        <f t="shared" si="34"/>
        <v>0</v>
      </c>
      <c r="AG153" s="50"/>
      <c r="AH153" s="51"/>
      <c r="AI153" s="137"/>
      <c r="AJ153" s="49"/>
      <c r="AK153" s="49"/>
      <c r="AL153" s="101">
        <f t="shared" si="35"/>
        <v>0</v>
      </c>
      <c r="AM153" s="49"/>
      <c r="AN153" s="101">
        <f t="shared" si="36"/>
        <v>0</v>
      </c>
      <c r="AO153" s="101">
        <f t="shared" si="37"/>
        <v>0</v>
      </c>
      <c r="AP153" s="101">
        <f t="shared" si="38"/>
        <v>0</v>
      </c>
      <c r="AQ153" s="49"/>
      <c r="AR153" s="49"/>
      <c r="AS153" s="49"/>
      <c r="AT153" s="55"/>
      <c r="AU153" s="53"/>
      <c r="AV153" s="56"/>
      <c r="AW153" s="54"/>
    </row>
    <row r="154" spans="1:49" s="32" customFormat="1" ht="15.75" x14ac:dyDescent="0.2">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114">
        <f t="shared" si="32"/>
        <v>0</v>
      </c>
      <c r="AB154" s="101" t="str">
        <f>IFERROR(VLOOKUP(AA154,'Risk Matrices'!$A$35:$B$39,2,FALSE),"")</f>
        <v/>
      </c>
      <c r="AC154" s="49"/>
      <c r="AD154" s="101">
        <f t="shared" si="33"/>
        <v>0</v>
      </c>
      <c r="AE154" s="101">
        <f t="shared" si="39"/>
        <v>0</v>
      </c>
      <c r="AF154" s="102">
        <f t="shared" si="34"/>
        <v>0</v>
      </c>
      <c r="AG154" s="50"/>
      <c r="AH154" s="51"/>
      <c r="AI154" s="137"/>
      <c r="AJ154" s="49"/>
      <c r="AK154" s="49"/>
      <c r="AL154" s="101">
        <f t="shared" si="35"/>
        <v>0</v>
      </c>
      <c r="AM154" s="49"/>
      <c r="AN154" s="101">
        <f t="shared" si="36"/>
        <v>0</v>
      </c>
      <c r="AO154" s="101">
        <f t="shared" si="37"/>
        <v>0</v>
      </c>
      <c r="AP154" s="101">
        <f t="shared" si="38"/>
        <v>0</v>
      </c>
      <c r="AQ154" s="49"/>
      <c r="AR154" s="49"/>
      <c r="AS154" s="49"/>
      <c r="AT154" s="55"/>
      <c r="AU154" s="53"/>
      <c r="AV154" s="56"/>
      <c r="AW154" s="54"/>
    </row>
    <row r="155" spans="1:49" s="32" customFormat="1" ht="15.75" x14ac:dyDescent="0.2">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114">
        <f t="shared" si="32"/>
        <v>0</v>
      </c>
      <c r="AB155" s="101" t="str">
        <f>IFERROR(VLOOKUP(AA155,'Risk Matrices'!$A$35:$B$39,2,FALSE),"")</f>
        <v/>
      </c>
      <c r="AC155" s="49"/>
      <c r="AD155" s="101">
        <f t="shared" si="33"/>
        <v>0</v>
      </c>
      <c r="AE155" s="101">
        <f t="shared" si="39"/>
        <v>0</v>
      </c>
      <c r="AF155" s="102">
        <f t="shared" si="34"/>
        <v>0</v>
      </c>
      <c r="AG155" s="50"/>
      <c r="AH155" s="51"/>
      <c r="AI155" s="137"/>
      <c r="AJ155" s="49"/>
      <c r="AK155" s="49"/>
      <c r="AL155" s="101">
        <f t="shared" si="35"/>
        <v>0</v>
      </c>
      <c r="AM155" s="49"/>
      <c r="AN155" s="101">
        <f t="shared" si="36"/>
        <v>0</v>
      </c>
      <c r="AO155" s="101">
        <f t="shared" si="37"/>
        <v>0</v>
      </c>
      <c r="AP155" s="101">
        <f t="shared" si="38"/>
        <v>0</v>
      </c>
      <c r="AQ155" s="49"/>
      <c r="AR155" s="49"/>
      <c r="AS155" s="49"/>
      <c r="AT155" s="55"/>
      <c r="AU155" s="53"/>
      <c r="AV155" s="56"/>
      <c r="AW155" s="54"/>
    </row>
    <row r="156" spans="1:49" s="32" customFormat="1" ht="15.75" x14ac:dyDescent="0.2">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114">
        <f t="shared" si="32"/>
        <v>0</v>
      </c>
      <c r="AB156" s="101" t="str">
        <f>IFERROR(VLOOKUP(AA156,'Risk Matrices'!$A$35:$B$39,2,FALSE),"")</f>
        <v/>
      </c>
      <c r="AC156" s="49"/>
      <c r="AD156" s="101">
        <f t="shared" si="33"/>
        <v>0</v>
      </c>
      <c r="AE156" s="101">
        <f t="shared" si="39"/>
        <v>0</v>
      </c>
      <c r="AF156" s="102">
        <f t="shared" si="34"/>
        <v>0</v>
      </c>
      <c r="AG156" s="50"/>
      <c r="AH156" s="51"/>
      <c r="AI156" s="137"/>
      <c r="AJ156" s="49"/>
      <c r="AK156" s="49"/>
      <c r="AL156" s="101">
        <f t="shared" si="35"/>
        <v>0</v>
      </c>
      <c r="AM156" s="49"/>
      <c r="AN156" s="101">
        <f t="shared" si="36"/>
        <v>0</v>
      </c>
      <c r="AO156" s="101">
        <f t="shared" si="37"/>
        <v>0</v>
      </c>
      <c r="AP156" s="101">
        <f t="shared" si="38"/>
        <v>0</v>
      </c>
      <c r="AQ156" s="49"/>
      <c r="AR156" s="49"/>
      <c r="AS156" s="49"/>
      <c r="AT156" s="55"/>
      <c r="AU156" s="53"/>
      <c r="AV156" s="56"/>
      <c r="AW156" s="54"/>
    </row>
    <row r="157" spans="1:49" s="32" customFormat="1" ht="15.75" x14ac:dyDescent="0.2">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114">
        <f t="shared" si="32"/>
        <v>0</v>
      </c>
      <c r="AB157" s="101" t="str">
        <f>IFERROR(VLOOKUP(AA157,'Risk Matrices'!$A$35:$B$39,2,FALSE),"")</f>
        <v/>
      </c>
      <c r="AC157" s="49"/>
      <c r="AD157" s="101">
        <f t="shared" si="33"/>
        <v>0</v>
      </c>
      <c r="AE157" s="101">
        <f t="shared" si="39"/>
        <v>0</v>
      </c>
      <c r="AF157" s="102">
        <f t="shared" si="34"/>
        <v>0</v>
      </c>
      <c r="AG157" s="50"/>
      <c r="AH157" s="51"/>
      <c r="AI157" s="137"/>
      <c r="AJ157" s="49"/>
      <c r="AK157" s="49"/>
      <c r="AL157" s="101">
        <f t="shared" si="35"/>
        <v>0</v>
      </c>
      <c r="AM157" s="49"/>
      <c r="AN157" s="101">
        <f t="shared" si="36"/>
        <v>0</v>
      </c>
      <c r="AO157" s="101">
        <f t="shared" si="37"/>
        <v>0</v>
      </c>
      <c r="AP157" s="101">
        <f t="shared" si="38"/>
        <v>0</v>
      </c>
      <c r="AQ157" s="49"/>
      <c r="AR157" s="49"/>
      <c r="AS157" s="49"/>
      <c r="AT157" s="55"/>
      <c r="AU157" s="53"/>
      <c r="AV157" s="56"/>
      <c r="AW157" s="54"/>
    </row>
    <row r="158" spans="1:49" s="32" customFormat="1" ht="15.75" x14ac:dyDescent="0.2">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114">
        <f t="shared" si="32"/>
        <v>0</v>
      </c>
      <c r="AB158" s="101" t="str">
        <f>IFERROR(VLOOKUP(AA158,'Risk Matrices'!$A$35:$B$39,2,FALSE),"")</f>
        <v/>
      </c>
      <c r="AC158" s="49"/>
      <c r="AD158" s="101">
        <f t="shared" si="33"/>
        <v>0</v>
      </c>
      <c r="AE158" s="101">
        <f t="shared" si="39"/>
        <v>0</v>
      </c>
      <c r="AF158" s="102">
        <f t="shared" si="34"/>
        <v>0</v>
      </c>
      <c r="AG158" s="50"/>
      <c r="AH158" s="51"/>
      <c r="AI158" s="137"/>
      <c r="AJ158" s="49"/>
      <c r="AK158" s="49"/>
      <c r="AL158" s="101">
        <f t="shared" si="35"/>
        <v>0</v>
      </c>
      <c r="AM158" s="49"/>
      <c r="AN158" s="101">
        <f t="shared" si="36"/>
        <v>0</v>
      </c>
      <c r="AO158" s="101">
        <f t="shared" si="37"/>
        <v>0</v>
      </c>
      <c r="AP158" s="101">
        <f t="shared" si="38"/>
        <v>0</v>
      </c>
      <c r="AQ158" s="49"/>
      <c r="AR158" s="49"/>
      <c r="AS158" s="49"/>
      <c r="AT158" s="55"/>
      <c r="AU158" s="53"/>
      <c r="AV158" s="56"/>
      <c r="AW158" s="54"/>
    </row>
    <row r="159" spans="1:49" s="32" customFormat="1" ht="15.75" x14ac:dyDescent="0.2">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114">
        <f t="shared" si="32"/>
        <v>0</v>
      </c>
      <c r="AB159" s="101" t="str">
        <f>IFERROR(VLOOKUP(AA159,'Risk Matrices'!$A$35:$B$39,2,FALSE),"")</f>
        <v/>
      </c>
      <c r="AC159" s="49"/>
      <c r="AD159" s="101">
        <f t="shared" si="33"/>
        <v>0</v>
      </c>
      <c r="AE159" s="101">
        <f t="shared" si="39"/>
        <v>0</v>
      </c>
      <c r="AF159" s="102">
        <f t="shared" si="34"/>
        <v>0</v>
      </c>
      <c r="AG159" s="50"/>
      <c r="AH159" s="51"/>
      <c r="AI159" s="137"/>
      <c r="AJ159" s="49"/>
      <c r="AK159" s="49"/>
      <c r="AL159" s="101">
        <f t="shared" si="35"/>
        <v>0</v>
      </c>
      <c r="AM159" s="49"/>
      <c r="AN159" s="101">
        <f t="shared" si="36"/>
        <v>0</v>
      </c>
      <c r="AO159" s="101">
        <f t="shared" si="37"/>
        <v>0</v>
      </c>
      <c r="AP159" s="101">
        <f t="shared" si="38"/>
        <v>0</v>
      </c>
      <c r="AQ159" s="49"/>
      <c r="AR159" s="49"/>
      <c r="AS159" s="49"/>
      <c r="AT159" s="55"/>
      <c r="AU159" s="53"/>
      <c r="AV159" s="56"/>
      <c r="AW159" s="54"/>
    </row>
    <row r="160" spans="1:49" s="32" customFormat="1" ht="15.75" x14ac:dyDescent="0.2">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114">
        <f t="shared" si="32"/>
        <v>0</v>
      </c>
      <c r="AB160" s="101" t="str">
        <f>IFERROR(VLOOKUP(AA160,'Risk Matrices'!$A$35:$B$39,2,FALSE),"")</f>
        <v/>
      </c>
      <c r="AC160" s="49"/>
      <c r="AD160" s="101">
        <f t="shared" si="33"/>
        <v>0</v>
      </c>
      <c r="AE160" s="101">
        <f t="shared" si="39"/>
        <v>0</v>
      </c>
      <c r="AF160" s="102">
        <f t="shared" si="34"/>
        <v>0</v>
      </c>
      <c r="AG160" s="50"/>
      <c r="AH160" s="51"/>
      <c r="AI160" s="137"/>
      <c r="AJ160" s="49"/>
      <c r="AK160" s="49"/>
      <c r="AL160" s="101">
        <f t="shared" si="35"/>
        <v>0</v>
      </c>
      <c r="AM160" s="49"/>
      <c r="AN160" s="101">
        <f t="shared" si="36"/>
        <v>0</v>
      </c>
      <c r="AO160" s="101">
        <f t="shared" si="37"/>
        <v>0</v>
      </c>
      <c r="AP160" s="101">
        <f t="shared" si="38"/>
        <v>0</v>
      </c>
      <c r="AQ160" s="49"/>
      <c r="AR160" s="49"/>
      <c r="AS160" s="49"/>
      <c r="AT160" s="55"/>
      <c r="AU160" s="53"/>
      <c r="AV160" s="56"/>
      <c r="AW160" s="54"/>
    </row>
    <row r="161" spans="1:49" s="32" customFormat="1" ht="15.75" x14ac:dyDescent="0.2">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114">
        <f t="shared" si="32"/>
        <v>0</v>
      </c>
      <c r="AB161" s="101" t="str">
        <f>IFERROR(VLOOKUP(AA161,'Risk Matrices'!$A$35:$B$39,2,FALSE),"")</f>
        <v/>
      </c>
      <c r="AC161" s="49"/>
      <c r="AD161" s="101">
        <f t="shared" si="33"/>
        <v>0</v>
      </c>
      <c r="AE161" s="101">
        <f t="shared" si="39"/>
        <v>0</v>
      </c>
      <c r="AF161" s="102">
        <f t="shared" si="34"/>
        <v>0</v>
      </c>
      <c r="AG161" s="50"/>
      <c r="AH161" s="51"/>
      <c r="AI161" s="137"/>
      <c r="AJ161" s="49"/>
      <c r="AK161" s="49"/>
      <c r="AL161" s="101">
        <f t="shared" si="35"/>
        <v>0</v>
      </c>
      <c r="AM161" s="49"/>
      <c r="AN161" s="101">
        <f t="shared" si="36"/>
        <v>0</v>
      </c>
      <c r="AO161" s="101">
        <f t="shared" si="37"/>
        <v>0</v>
      </c>
      <c r="AP161" s="101">
        <f t="shared" si="38"/>
        <v>0</v>
      </c>
      <c r="AQ161" s="49"/>
      <c r="AR161" s="49"/>
      <c r="AS161" s="49"/>
      <c r="AT161" s="55"/>
      <c r="AU161" s="53"/>
      <c r="AV161" s="56"/>
      <c r="AW161" s="54"/>
    </row>
    <row r="162" spans="1:49" s="32" customFormat="1" ht="15.75" x14ac:dyDescent="0.2">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114">
        <f t="shared" ref="AA162:AA225" si="40">MAX(R162:Z162)</f>
        <v>0</v>
      </c>
      <c r="AB162" s="101" t="str">
        <f>IFERROR(VLOOKUP(AA162,'Risk Matrices'!$A$35:$B$39,2,FALSE),"")</f>
        <v/>
      </c>
      <c r="AC162" s="49"/>
      <c r="AD162" s="101">
        <f t="shared" ref="AD162:AD225" si="41">IF(AC162=1,"Very Low",IF(AC162=2,"Low",IF(AC162=3,"Medium",IF(AC162=4,"High",IF(AC162=5,"Very High",)))))</f>
        <v>0</v>
      </c>
      <c r="AE162" s="101">
        <f t="shared" si="39"/>
        <v>0</v>
      </c>
      <c r="AF162" s="102">
        <f t="shared" ref="AF162:AF225" si="42">IF(AE162=1,"Very Low",IF(AE162=2,"Very Low",IF(AE162=3,"Very Low",IF(AE162=4,"Very Low",IF(AE162=5,"Very Low",IF(AE162=6,"Very Low",IF(AE162=8,"Low",IF(AE162=9,"Low",IF(AE162=10,"Medium",IF(AE162=12,"Medium",IF(AE162=15,"High",IF(AE162=16,"High",IF(AE162=20,"Very High",IF(AE162=25,"Very High",))))))))))))))</f>
        <v>0</v>
      </c>
      <c r="AG162" s="50"/>
      <c r="AH162" s="51"/>
      <c r="AI162" s="137"/>
      <c r="AJ162" s="49"/>
      <c r="AK162" s="49"/>
      <c r="AL162" s="101">
        <f t="shared" ref="AL162:AL225" si="43">IF(AH162=1,"Very Low",IF(AH162=2,"Low",IF(AH162=3,"Medium",IF(AH162=4,"High",IF(AH162=5,"Very High",)))))</f>
        <v>0</v>
      </c>
      <c r="AM162" s="49"/>
      <c r="AN162" s="101">
        <f t="shared" ref="AN162:AN225" si="44">IF(AM162=1,"Very Low",IF(AM162=2,"Low",IF(AM162=3,"Medium",IF(AM162=4,"High",IF(AM162=5,"Very High",)))))</f>
        <v>0</v>
      </c>
      <c r="AO162" s="101">
        <f t="shared" ref="AO162:AO225" si="45">AH162*AM162</f>
        <v>0</v>
      </c>
      <c r="AP162" s="101">
        <f t="shared" ref="AP162:AP225" si="46">IF(AO162=1,"Very Low",IF(AO162=2,"Very Low",IF(AO162=3,"Very Low",IF(AO162=4,"Very Low",IF(AO162=5,"Very Low",IF(AO162=6,"Very Low",IF(AO162=8,"Low",IF(AO162=9,"Low",IF(AO162=10,"Medium",IF(AO162=12,"Medium",IF(AO162=15,"High",IF(AO162=16,"High",IF(AO162=20,"Very High",IF(AO162=25,"Very High",))))))))))))))</f>
        <v>0</v>
      </c>
      <c r="AQ162" s="49"/>
      <c r="AR162" s="49"/>
      <c r="AS162" s="49"/>
      <c r="AT162" s="55"/>
      <c r="AU162" s="53"/>
      <c r="AV162" s="56"/>
      <c r="AW162" s="54"/>
    </row>
    <row r="163" spans="1:49" s="32" customFormat="1" ht="15.75" x14ac:dyDescent="0.2">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114">
        <f t="shared" si="40"/>
        <v>0</v>
      </c>
      <c r="AB163" s="101" t="str">
        <f>IFERROR(VLOOKUP(AA163,'Risk Matrices'!$A$35:$B$39,2,FALSE),"")</f>
        <v/>
      </c>
      <c r="AC163" s="49"/>
      <c r="AD163" s="101">
        <f t="shared" si="41"/>
        <v>0</v>
      </c>
      <c r="AE163" s="101">
        <f t="shared" si="39"/>
        <v>0</v>
      </c>
      <c r="AF163" s="102">
        <f t="shared" si="42"/>
        <v>0</v>
      </c>
      <c r="AG163" s="50"/>
      <c r="AH163" s="51"/>
      <c r="AI163" s="137"/>
      <c r="AJ163" s="49"/>
      <c r="AK163" s="49"/>
      <c r="AL163" s="101">
        <f t="shared" si="43"/>
        <v>0</v>
      </c>
      <c r="AM163" s="49"/>
      <c r="AN163" s="101">
        <f t="shared" si="44"/>
        <v>0</v>
      </c>
      <c r="AO163" s="101">
        <f t="shared" si="45"/>
        <v>0</v>
      </c>
      <c r="AP163" s="101">
        <f t="shared" si="46"/>
        <v>0</v>
      </c>
      <c r="AQ163" s="49"/>
      <c r="AR163" s="49"/>
      <c r="AS163" s="49"/>
      <c r="AT163" s="55"/>
      <c r="AU163" s="53"/>
      <c r="AV163" s="56"/>
      <c r="AW163" s="54"/>
    </row>
    <row r="164" spans="1:49" s="32" customFormat="1" ht="15.75" x14ac:dyDescent="0.2">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114">
        <f t="shared" si="40"/>
        <v>0</v>
      </c>
      <c r="AB164" s="101" t="str">
        <f>IFERROR(VLOOKUP(AA164,'Risk Matrices'!$A$35:$B$39,2,FALSE),"")</f>
        <v/>
      </c>
      <c r="AC164" s="49"/>
      <c r="AD164" s="101">
        <f t="shared" si="41"/>
        <v>0</v>
      </c>
      <c r="AE164" s="101">
        <f t="shared" si="39"/>
        <v>0</v>
      </c>
      <c r="AF164" s="102">
        <f t="shared" si="42"/>
        <v>0</v>
      </c>
      <c r="AG164" s="50"/>
      <c r="AH164" s="51"/>
      <c r="AI164" s="137"/>
      <c r="AJ164" s="49"/>
      <c r="AK164" s="49"/>
      <c r="AL164" s="101">
        <f t="shared" si="43"/>
        <v>0</v>
      </c>
      <c r="AM164" s="49"/>
      <c r="AN164" s="101">
        <f t="shared" si="44"/>
        <v>0</v>
      </c>
      <c r="AO164" s="101">
        <f t="shared" si="45"/>
        <v>0</v>
      </c>
      <c r="AP164" s="101">
        <f t="shared" si="46"/>
        <v>0</v>
      </c>
      <c r="AQ164" s="49"/>
      <c r="AR164" s="49"/>
      <c r="AS164" s="49"/>
      <c r="AT164" s="55"/>
      <c r="AU164" s="53"/>
      <c r="AV164" s="56"/>
      <c r="AW164" s="54"/>
    </row>
    <row r="165" spans="1:49" s="32" customFormat="1" ht="15.75" x14ac:dyDescent="0.2">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114">
        <f t="shared" si="40"/>
        <v>0</v>
      </c>
      <c r="AB165" s="101" t="str">
        <f>IFERROR(VLOOKUP(AA165,'Risk Matrices'!$A$35:$B$39,2,FALSE),"")</f>
        <v/>
      </c>
      <c r="AC165" s="49"/>
      <c r="AD165" s="101">
        <f t="shared" si="41"/>
        <v>0</v>
      </c>
      <c r="AE165" s="101">
        <f t="shared" si="39"/>
        <v>0</v>
      </c>
      <c r="AF165" s="102">
        <f t="shared" si="42"/>
        <v>0</v>
      </c>
      <c r="AG165" s="50"/>
      <c r="AH165" s="51"/>
      <c r="AI165" s="137"/>
      <c r="AJ165" s="49"/>
      <c r="AK165" s="49"/>
      <c r="AL165" s="101">
        <f t="shared" si="43"/>
        <v>0</v>
      </c>
      <c r="AM165" s="49"/>
      <c r="AN165" s="101">
        <f t="shared" si="44"/>
        <v>0</v>
      </c>
      <c r="AO165" s="101">
        <f t="shared" si="45"/>
        <v>0</v>
      </c>
      <c r="AP165" s="101">
        <f t="shared" si="46"/>
        <v>0</v>
      </c>
      <c r="AQ165" s="49"/>
      <c r="AR165" s="49"/>
      <c r="AS165" s="49"/>
      <c r="AT165" s="55"/>
      <c r="AU165" s="53"/>
      <c r="AV165" s="56"/>
      <c r="AW165" s="54"/>
    </row>
    <row r="166" spans="1:49" s="32" customFormat="1" ht="15.75" x14ac:dyDescent="0.2">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114">
        <f t="shared" si="40"/>
        <v>0</v>
      </c>
      <c r="AB166" s="101" t="str">
        <f>IFERROR(VLOOKUP(AA166,'Risk Matrices'!$A$35:$B$39,2,FALSE),"")</f>
        <v/>
      </c>
      <c r="AC166" s="49"/>
      <c r="AD166" s="101">
        <f t="shared" si="41"/>
        <v>0</v>
      </c>
      <c r="AE166" s="101">
        <f t="shared" si="39"/>
        <v>0</v>
      </c>
      <c r="AF166" s="102">
        <f t="shared" si="42"/>
        <v>0</v>
      </c>
      <c r="AG166" s="50"/>
      <c r="AH166" s="51"/>
      <c r="AI166" s="137"/>
      <c r="AJ166" s="49"/>
      <c r="AK166" s="49"/>
      <c r="AL166" s="101">
        <f t="shared" si="43"/>
        <v>0</v>
      </c>
      <c r="AM166" s="49"/>
      <c r="AN166" s="101">
        <f t="shared" si="44"/>
        <v>0</v>
      </c>
      <c r="AO166" s="101">
        <f t="shared" si="45"/>
        <v>0</v>
      </c>
      <c r="AP166" s="101">
        <f t="shared" si="46"/>
        <v>0</v>
      </c>
      <c r="AQ166" s="49"/>
      <c r="AR166" s="49"/>
      <c r="AS166" s="49"/>
      <c r="AT166" s="55"/>
      <c r="AU166" s="53"/>
      <c r="AV166" s="56"/>
      <c r="AW166" s="54"/>
    </row>
    <row r="167" spans="1:49" s="32" customFormat="1" ht="15.75" x14ac:dyDescent="0.2">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114">
        <f t="shared" si="40"/>
        <v>0</v>
      </c>
      <c r="AB167" s="101" t="str">
        <f>IFERROR(VLOOKUP(AA167,'Risk Matrices'!$A$35:$B$39,2,FALSE),"")</f>
        <v/>
      </c>
      <c r="AC167" s="49"/>
      <c r="AD167" s="101">
        <f t="shared" si="41"/>
        <v>0</v>
      </c>
      <c r="AE167" s="101">
        <f t="shared" si="39"/>
        <v>0</v>
      </c>
      <c r="AF167" s="102">
        <f t="shared" si="42"/>
        <v>0</v>
      </c>
      <c r="AG167" s="50"/>
      <c r="AH167" s="51"/>
      <c r="AI167" s="137"/>
      <c r="AJ167" s="49"/>
      <c r="AK167" s="49"/>
      <c r="AL167" s="101">
        <f t="shared" si="43"/>
        <v>0</v>
      </c>
      <c r="AM167" s="49"/>
      <c r="AN167" s="101">
        <f t="shared" si="44"/>
        <v>0</v>
      </c>
      <c r="AO167" s="101">
        <f t="shared" si="45"/>
        <v>0</v>
      </c>
      <c r="AP167" s="101">
        <f t="shared" si="46"/>
        <v>0</v>
      </c>
      <c r="AQ167" s="49"/>
      <c r="AR167" s="49"/>
      <c r="AS167" s="49"/>
      <c r="AT167" s="55"/>
      <c r="AU167" s="53"/>
      <c r="AV167" s="56"/>
      <c r="AW167" s="54"/>
    </row>
    <row r="168" spans="1:49" s="32" customFormat="1" ht="15.75" x14ac:dyDescent="0.2">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114">
        <f t="shared" si="40"/>
        <v>0</v>
      </c>
      <c r="AB168" s="101" t="str">
        <f>IFERROR(VLOOKUP(AA168,'Risk Matrices'!$A$35:$B$39,2,FALSE),"")</f>
        <v/>
      </c>
      <c r="AC168" s="49"/>
      <c r="AD168" s="101">
        <f t="shared" si="41"/>
        <v>0</v>
      </c>
      <c r="AE168" s="101">
        <f t="shared" si="39"/>
        <v>0</v>
      </c>
      <c r="AF168" s="102">
        <f t="shared" si="42"/>
        <v>0</v>
      </c>
      <c r="AG168" s="50"/>
      <c r="AH168" s="51"/>
      <c r="AI168" s="137"/>
      <c r="AJ168" s="49"/>
      <c r="AK168" s="49"/>
      <c r="AL168" s="101">
        <f t="shared" si="43"/>
        <v>0</v>
      </c>
      <c r="AM168" s="49"/>
      <c r="AN168" s="101">
        <f t="shared" si="44"/>
        <v>0</v>
      </c>
      <c r="AO168" s="101">
        <f t="shared" si="45"/>
        <v>0</v>
      </c>
      <c r="AP168" s="101">
        <f t="shared" si="46"/>
        <v>0</v>
      </c>
      <c r="AQ168" s="49"/>
      <c r="AR168" s="49"/>
      <c r="AS168" s="49"/>
      <c r="AT168" s="55"/>
      <c r="AU168" s="53"/>
      <c r="AV168" s="56"/>
      <c r="AW168" s="54"/>
    </row>
    <row r="169" spans="1:49" s="32" customFormat="1" ht="15.75" x14ac:dyDescent="0.2">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114">
        <f t="shared" si="40"/>
        <v>0</v>
      </c>
      <c r="AB169" s="101" t="str">
        <f>IFERROR(VLOOKUP(AA169,'Risk Matrices'!$A$35:$B$39,2,FALSE),"")</f>
        <v/>
      </c>
      <c r="AC169" s="49"/>
      <c r="AD169" s="101">
        <f t="shared" si="41"/>
        <v>0</v>
      </c>
      <c r="AE169" s="101">
        <f t="shared" si="39"/>
        <v>0</v>
      </c>
      <c r="AF169" s="102">
        <f t="shared" si="42"/>
        <v>0</v>
      </c>
      <c r="AG169" s="50"/>
      <c r="AH169" s="51"/>
      <c r="AI169" s="137"/>
      <c r="AJ169" s="49"/>
      <c r="AK169" s="49"/>
      <c r="AL169" s="101">
        <f t="shared" si="43"/>
        <v>0</v>
      </c>
      <c r="AM169" s="49"/>
      <c r="AN169" s="101">
        <f t="shared" si="44"/>
        <v>0</v>
      </c>
      <c r="AO169" s="101">
        <f t="shared" si="45"/>
        <v>0</v>
      </c>
      <c r="AP169" s="101">
        <f t="shared" si="46"/>
        <v>0</v>
      </c>
      <c r="AQ169" s="49"/>
      <c r="AR169" s="49"/>
      <c r="AS169" s="49"/>
      <c r="AT169" s="55"/>
      <c r="AU169" s="53"/>
      <c r="AV169" s="56"/>
      <c r="AW169" s="54"/>
    </row>
    <row r="170" spans="1:49" s="32" customFormat="1" ht="15.75" x14ac:dyDescent="0.2">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114">
        <f t="shared" si="40"/>
        <v>0</v>
      </c>
      <c r="AB170" s="101" t="str">
        <f>IFERROR(VLOOKUP(AA170,'Risk Matrices'!$A$35:$B$39,2,FALSE),"")</f>
        <v/>
      </c>
      <c r="AC170" s="49"/>
      <c r="AD170" s="101">
        <f t="shared" si="41"/>
        <v>0</v>
      </c>
      <c r="AE170" s="101">
        <f t="shared" si="39"/>
        <v>0</v>
      </c>
      <c r="AF170" s="102">
        <f t="shared" si="42"/>
        <v>0</v>
      </c>
      <c r="AG170" s="50"/>
      <c r="AH170" s="51"/>
      <c r="AI170" s="137"/>
      <c r="AJ170" s="49"/>
      <c r="AK170" s="49"/>
      <c r="AL170" s="101">
        <f t="shared" si="43"/>
        <v>0</v>
      </c>
      <c r="AM170" s="49"/>
      <c r="AN170" s="101">
        <f t="shared" si="44"/>
        <v>0</v>
      </c>
      <c r="AO170" s="101">
        <f t="shared" si="45"/>
        <v>0</v>
      </c>
      <c r="AP170" s="101">
        <f t="shared" si="46"/>
        <v>0</v>
      </c>
      <c r="AQ170" s="49"/>
      <c r="AR170" s="49"/>
      <c r="AS170" s="49"/>
      <c r="AT170" s="55"/>
      <c r="AU170" s="53"/>
      <c r="AV170" s="56"/>
      <c r="AW170" s="54"/>
    </row>
    <row r="171" spans="1:49" s="32" customFormat="1" ht="15.75" x14ac:dyDescent="0.2">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114">
        <f t="shared" si="40"/>
        <v>0</v>
      </c>
      <c r="AB171" s="101" t="str">
        <f>IFERROR(VLOOKUP(AA171,'Risk Matrices'!$A$35:$B$39,2,FALSE),"")</f>
        <v/>
      </c>
      <c r="AC171" s="49"/>
      <c r="AD171" s="101">
        <f t="shared" si="41"/>
        <v>0</v>
      </c>
      <c r="AE171" s="101">
        <f t="shared" si="39"/>
        <v>0</v>
      </c>
      <c r="AF171" s="102">
        <f t="shared" si="42"/>
        <v>0</v>
      </c>
      <c r="AG171" s="50"/>
      <c r="AH171" s="51"/>
      <c r="AI171" s="137"/>
      <c r="AJ171" s="49"/>
      <c r="AK171" s="49"/>
      <c r="AL171" s="101">
        <f t="shared" si="43"/>
        <v>0</v>
      </c>
      <c r="AM171" s="49"/>
      <c r="AN171" s="101">
        <f t="shared" si="44"/>
        <v>0</v>
      </c>
      <c r="AO171" s="101">
        <f t="shared" si="45"/>
        <v>0</v>
      </c>
      <c r="AP171" s="101">
        <f t="shared" si="46"/>
        <v>0</v>
      </c>
      <c r="AQ171" s="49"/>
      <c r="AR171" s="49"/>
      <c r="AS171" s="49"/>
      <c r="AT171" s="55"/>
      <c r="AU171" s="53"/>
      <c r="AV171" s="56"/>
      <c r="AW171" s="54"/>
    </row>
    <row r="172" spans="1:49" s="32" customFormat="1" ht="15.75" x14ac:dyDescent="0.2">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114">
        <f t="shared" si="40"/>
        <v>0</v>
      </c>
      <c r="AB172" s="101" t="str">
        <f>IFERROR(VLOOKUP(AA172,'Risk Matrices'!$A$35:$B$39,2,FALSE),"")</f>
        <v/>
      </c>
      <c r="AC172" s="49"/>
      <c r="AD172" s="101">
        <f t="shared" si="41"/>
        <v>0</v>
      </c>
      <c r="AE172" s="101">
        <f t="shared" si="39"/>
        <v>0</v>
      </c>
      <c r="AF172" s="102">
        <f t="shared" si="42"/>
        <v>0</v>
      </c>
      <c r="AG172" s="50"/>
      <c r="AH172" s="51"/>
      <c r="AI172" s="137"/>
      <c r="AJ172" s="49"/>
      <c r="AK172" s="49"/>
      <c r="AL172" s="101">
        <f t="shared" si="43"/>
        <v>0</v>
      </c>
      <c r="AM172" s="49"/>
      <c r="AN172" s="101">
        <f t="shared" si="44"/>
        <v>0</v>
      </c>
      <c r="AO172" s="101">
        <f t="shared" si="45"/>
        <v>0</v>
      </c>
      <c r="AP172" s="101">
        <f t="shared" si="46"/>
        <v>0</v>
      </c>
      <c r="AQ172" s="49"/>
      <c r="AR172" s="49"/>
      <c r="AS172" s="49"/>
      <c r="AT172" s="55"/>
      <c r="AU172" s="53"/>
      <c r="AV172" s="56"/>
      <c r="AW172" s="54"/>
    </row>
    <row r="173" spans="1:49" s="32" customFormat="1" ht="15.75" x14ac:dyDescent="0.2">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114">
        <f t="shared" si="40"/>
        <v>0</v>
      </c>
      <c r="AB173" s="101" t="str">
        <f>IFERROR(VLOOKUP(AA173,'Risk Matrices'!$A$35:$B$39,2,FALSE),"")</f>
        <v/>
      </c>
      <c r="AC173" s="49"/>
      <c r="AD173" s="101">
        <f t="shared" si="41"/>
        <v>0</v>
      </c>
      <c r="AE173" s="101">
        <f t="shared" si="39"/>
        <v>0</v>
      </c>
      <c r="AF173" s="102">
        <f t="shared" si="42"/>
        <v>0</v>
      </c>
      <c r="AG173" s="50"/>
      <c r="AH173" s="51"/>
      <c r="AI173" s="137"/>
      <c r="AJ173" s="49"/>
      <c r="AK173" s="49"/>
      <c r="AL173" s="101">
        <f t="shared" si="43"/>
        <v>0</v>
      </c>
      <c r="AM173" s="49"/>
      <c r="AN173" s="101">
        <f t="shared" si="44"/>
        <v>0</v>
      </c>
      <c r="AO173" s="101">
        <f t="shared" si="45"/>
        <v>0</v>
      </c>
      <c r="AP173" s="101">
        <f t="shared" si="46"/>
        <v>0</v>
      </c>
      <c r="AQ173" s="49"/>
      <c r="AR173" s="49"/>
      <c r="AS173" s="49"/>
      <c r="AT173" s="55"/>
      <c r="AU173" s="53"/>
      <c r="AV173" s="56"/>
      <c r="AW173" s="54"/>
    </row>
    <row r="174" spans="1:49" s="32" customFormat="1" ht="15.75" x14ac:dyDescent="0.2">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114">
        <f t="shared" si="40"/>
        <v>0</v>
      </c>
      <c r="AB174" s="101" t="str">
        <f>IFERROR(VLOOKUP(AA174,'Risk Matrices'!$A$35:$B$39,2,FALSE),"")</f>
        <v/>
      </c>
      <c r="AC174" s="49"/>
      <c r="AD174" s="101">
        <f t="shared" si="41"/>
        <v>0</v>
      </c>
      <c r="AE174" s="101">
        <f t="shared" si="39"/>
        <v>0</v>
      </c>
      <c r="AF174" s="102">
        <f t="shared" si="42"/>
        <v>0</v>
      </c>
      <c r="AG174" s="50"/>
      <c r="AH174" s="51"/>
      <c r="AI174" s="137"/>
      <c r="AJ174" s="49"/>
      <c r="AK174" s="49"/>
      <c r="AL174" s="101">
        <f t="shared" si="43"/>
        <v>0</v>
      </c>
      <c r="AM174" s="49"/>
      <c r="AN174" s="101">
        <f t="shared" si="44"/>
        <v>0</v>
      </c>
      <c r="AO174" s="101">
        <f t="shared" si="45"/>
        <v>0</v>
      </c>
      <c r="AP174" s="101">
        <f t="shared" si="46"/>
        <v>0</v>
      </c>
      <c r="AQ174" s="49"/>
      <c r="AR174" s="49"/>
      <c r="AS174" s="49"/>
      <c r="AT174" s="55"/>
      <c r="AU174" s="53"/>
      <c r="AV174" s="56"/>
      <c r="AW174" s="54"/>
    </row>
    <row r="175" spans="1:49" s="32" customFormat="1" ht="15.75" x14ac:dyDescent="0.2">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114">
        <f t="shared" si="40"/>
        <v>0</v>
      </c>
      <c r="AB175" s="101" t="str">
        <f>IFERROR(VLOOKUP(AA175,'Risk Matrices'!$A$35:$B$39,2,FALSE),"")</f>
        <v/>
      </c>
      <c r="AC175" s="49"/>
      <c r="AD175" s="101">
        <f t="shared" si="41"/>
        <v>0</v>
      </c>
      <c r="AE175" s="101">
        <f t="shared" si="39"/>
        <v>0</v>
      </c>
      <c r="AF175" s="102">
        <f t="shared" si="42"/>
        <v>0</v>
      </c>
      <c r="AG175" s="50"/>
      <c r="AH175" s="51"/>
      <c r="AI175" s="137"/>
      <c r="AJ175" s="49"/>
      <c r="AK175" s="49"/>
      <c r="AL175" s="101">
        <f t="shared" si="43"/>
        <v>0</v>
      </c>
      <c r="AM175" s="49"/>
      <c r="AN175" s="101">
        <f t="shared" si="44"/>
        <v>0</v>
      </c>
      <c r="AO175" s="101">
        <f t="shared" si="45"/>
        <v>0</v>
      </c>
      <c r="AP175" s="101">
        <f t="shared" si="46"/>
        <v>0</v>
      </c>
      <c r="AQ175" s="49"/>
      <c r="AR175" s="49"/>
      <c r="AS175" s="49"/>
      <c r="AT175" s="55"/>
      <c r="AU175" s="53"/>
      <c r="AV175" s="56"/>
      <c r="AW175" s="54"/>
    </row>
    <row r="176" spans="1:49" s="32" customFormat="1" ht="15.75" x14ac:dyDescent="0.2">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114">
        <f t="shared" si="40"/>
        <v>0</v>
      </c>
      <c r="AB176" s="101" t="str">
        <f>IFERROR(VLOOKUP(AA176,'Risk Matrices'!$A$35:$B$39,2,FALSE),"")</f>
        <v/>
      </c>
      <c r="AC176" s="49"/>
      <c r="AD176" s="101">
        <f t="shared" si="41"/>
        <v>0</v>
      </c>
      <c r="AE176" s="101">
        <f t="shared" si="39"/>
        <v>0</v>
      </c>
      <c r="AF176" s="102">
        <f t="shared" si="42"/>
        <v>0</v>
      </c>
      <c r="AG176" s="50"/>
      <c r="AH176" s="51"/>
      <c r="AI176" s="137"/>
      <c r="AJ176" s="49"/>
      <c r="AK176" s="49"/>
      <c r="AL176" s="101">
        <f t="shared" si="43"/>
        <v>0</v>
      </c>
      <c r="AM176" s="49"/>
      <c r="AN176" s="101">
        <f t="shared" si="44"/>
        <v>0</v>
      </c>
      <c r="AO176" s="101">
        <f t="shared" si="45"/>
        <v>0</v>
      </c>
      <c r="AP176" s="101">
        <f t="shared" si="46"/>
        <v>0</v>
      </c>
      <c r="AQ176" s="49"/>
      <c r="AR176" s="49"/>
      <c r="AS176" s="49"/>
      <c r="AT176" s="55"/>
      <c r="AU176" s="53"/>
      <c r="AV176" s="56"/>
      <c r="AW176" s="54"/>
    </row>
    <row r="177" spans="1:49" s="32" customFormat="1" ht="15.75" x14ac:dyDescent="0.2">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114">
        <f t="shared" si="40"/>
        <v>0</v>
      </c>
      <c r="AB177" s="101" t="str">
        <f>IFERROR(VLOOKUP(AA177,'Risk Matrices'!$A$35:$B$39,2,FALSE),"")</f>
        <v/>
      </c>
      <c r="AC177" s="49"/>
      <c r="AD177" s="101">
        <f t="shared" si="41"/>
        <v>0</v>
      </c>
      <c r="AE177" s="101">
        <f t="shared" si="39"/>
        <v>0</v>
      </c>
      <c r="AF177" s="102">
        <f t="shared" si="42"/>
        <v>0</v>
      </c>
      <c r="AG177" s="50"/>
      <c r="AH177" s="51"/>
      <c r="AI177" s="137"/>
      <c r="AJ177" s="49"/>
      <c r="AK177" s="49"/>
      <c r="AL177" s="101">
        <f t="shared" si="43"/>
        <v>0</v>
      </c>
      <c r="AM177" s="49"/>
      <c r="AN177" s="101">
        <f t="shared" si="44"/>
        <v>0</v>
      </c>
      <c r="AO177" s="101">
        <f t="shared" si="45"/>
        <v>0</v>
      </c>
      <c r="AP177" s="101">
        <f t="shared" si="46"/>
        <v>0</v>
      </c>
      <c r="AQ177" s="49"/>
      <c r="AR177" s="49"/>
      <c r="AS177" s="49"/>
      <c r="AT177" s="55"/>
      <c r="AU177" s="53"/>
      <c r="AV177" s="56"/>
      <c r="AW177" s="54"/>
    </row>
    <row r="178" spans="1:49" s="32" customFormat="1" ht="15.75" x14ac:dyDescent="0.2">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114">
        <f t="shared" si="40"/>
        <v>0</v>
      </c>
      <c r="AB178" s="101" t="str">
        <f>IFERROR(VLOOKUP(AA178,'Risk Matrices'!$A$35:$B$39,2,FALSE),"")</f>
        <v/>
      </c>
      <c r="AC178" s="49"/>
      <c r="AD178" s="101">
        <f t="shared" si="41"/>
        <v>0</v>
      </c>
      <c r="AE178" s="101">
        <f t="shared" si="39"/>
        <v>0</v>
      </c>
      <c r="AF178" s="102">
        <f t="shared" si="42"/>
        <v>0</v>
      </c>
      <c r="AG178" s="50"/>
      <c r="AH178" s="51"/>
      <c r="AI178" s="137"/>
      <c r="AJ178" s="49"/>
      <c r="AK178" s="49"/>
      <c r="AL178" s="101">
        <f t="shared" si="43"/>
        <v>0</v>
      </c>
      <c r="AM178" s="49"/>
      <c r="AN178" s="101">
        <f t="shared" si="44"/>
        <v>0</v>
      </c>
      <c r="AO178" s="101">
        <f t="shared" si="45"/>
        <v>0</v>
      </c>
      <c r="AP178" s="101">
        <f t="shared" si="46"/>
        <v>0</v>
      </c>
      <c r="AQ178" s="49"/>
      <c r="AR178" s="49"/>
      <c r="AS178" s="49"/>
      <c r="AT178" s="55"/>
      <c r="AU178" s="53"/>
      <c r="AV178" s="56"/>
      <c r="AW178" s="54"/>
    </row>
    <row r="179" spans="1:49" s="32" customFormat="1" ht="15.75" x14ac:dyDescent="0.2">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114">
        <f t="shared" si="40"/>
        <v>0</v>
      </c>
      <c r="AB179" s="101" t="str">
        <f>IFERROR(VLOOKUP(AA179,'Risk Matrices'!$A$35:$B$39,2,FALSE),"")</f>
        <v/>
      </c>
      <c r="AC179" s="49"/>
      <c r="AD179" s="101">
        <f t="shared" si="41"/>
        <v>0</v>
      </c>
      <c r="AE179" s="101">
        <f t="shared" si="39"/>
        <v>0</v>
      </c>
      <c r="AF179" s="102">
        <f t="shared" si="42"/>
        <v>0</v>
      </c>
      <c r="AG179" s="50"/>
      <c r="AH179" s="51"/>
      <c r="AI179" s="137"/>
      <c r="AJ179" s="49"/>
      <c r="AK179" s="49"/>
      <c r="AL179" s="101">
        <f t="shared" si="43"/>
        <v>0</v>
      </c>
      <c r="AM179" s="49"/>
      <c r="AN179" s="101">
        <f t="shared" si="44"/>
        <v>0</v>
      </c>
      <c r="AO179" s="101">
        <f t="shared" si="45"/>
        <v>0</v>
      </c>
      <c r="AP179" s="101">
        <f t="shared" si="46"/>
        <v>0</v>
      </c>
      <c r="AQ179" s="49"/>
      <c r="AR179" s="49"/>
      <c r="AS179" s="49"/>
      <c r="AT179" s="55"/>
      <c r="AU179" s="53"/>
      <c r="AV179" s="56"/>
      <c r="AW179" s="54"/>
    </row>
    <row r="180" spans="1:49" s="32" customFormat="1" ht="15.75" x14ac:dyDescent="0.2">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114">
        <f t="shared" si="40"/>
        <v>0</v>
      </c>
      <c r="AB180" s="101" t="str">
        <f>IFERROR(VLOOKUP(AA180,'Risk Matrices'!$A$35:$B$39,2,FALSE),"")</f>
        <v/>
      </c>
      <c r="AC180" s="49"/>
      <c r="AD180" s="101">
        <f t="shared" si="41"/>
        <v>0</v>
      </c>
      <c r="AE180" s="101">
        <f t="shared" si="39"/>
        <v>0</v>
      </c>
      <c r="AF180" s="102">
        <f t="shared" si="42"/>
        <v>0</v>
      </c>
      <c r="AG180" s="50"/>
      <c r="AH180" s="51"/>
      <c r="AI180" s="137"/>
      <c r="AJ180" s="49"/>
      <c r="AK180" s="49"/>
      <c r="AL180" s="101">
        <f t="shared" si="43"/>
        <v>0</v>
      </c>
      <c r="AM180" s="49"/>
      <c r="AN180" s="101">
        <f t="shared" si="44"/>
        <v>0</v>
      </c>
      <c r="AO180" s="101">
        <f t="shared" si="45"/>
        <v>0</v>
      </c>
      <c r="AP180" s="101">
        <f t="shared" si="46"/>
        <v>0</v>
      </c>
      <c r="AQ180" s="49"/>
      <c r="AR180" s="49"/>
      <c r="AS180" s="49"/>
      <c r="AT180" s="55"/>
      <c r="AU180" s="53"/>
      <c r="AV180" s="56"/>
      <c r="AW180" s="54"/>
    </row>
    <row r="181" spans="1:49" s="32" customFormat="1" ht="15.75" x14ac:dyDescent="0.2">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114">
        <f t="shared" si="40"/>
        <v>0</v>
      </c>
      <c r="AB181" s="101" t="str">
        <f>IFERROR(VLOOKUP(AA181,'Risk Matrices'!$A$35:$B$39,2,FALSE),"")</f>
        <v/>
      </c>
      <c r="AC181" s="49"/>
      <c r="AD181" s="101">
        <f t="shared" si="41"/>
        <v>0</v>
      </c>
      <c r="AE181" s="101">
        <f t="shared" si="39"/>
        <v>0</v>
      </c>
      <c r="AF181" s="102">
        <f t="shared" si="42"/>
        <v>0</v>
      </c>
      <c r="AG181" s="50"/>
      <c r="AH181" s="51"/>
      <c r="AI181" s="137"/>
      <c r="AJ181" s="49"/>
      <c r="AK181" s="49"/>
      <c r="AL181" s="101">
        <f t="shared" si="43"/>
        <v>0</v>
      </c>
      <c r="AM181" s="49"/>
      <c r="AN181" s="101">
        <f t="shared" si="44"/>
        <v>0</v>
      </c>
      <c r="AO181" s="101">
        <f t="shared" si="45"/>
        <v>0</v>
      </c>
      <c r="AP181" s="101">
        <f t="shared" si="46"/>
        <v>0</v>
      </c>
      <c r="AQ181" s="49"/>
      <c r="AR181" s="49"/>
      <c r="AS181" s="49"/>
      <c r="AT181" s="55"/>
      <c r="AU181" s="53"/>
      <c r="AV181" s="56"/>
      <c r="AW181" s="54"/>
    </row>
    <row r="182" spans="1:49" s="32" customFormat="1" ht="15.75" x14ac:dyDescent="0.2">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114">
        <f t="shared" si="40"/>
        <v>0</v>
      </c>
      <c r="AB182" s="101" t="str">
        <f>IFERROR(VLOOKUP(AA182,'Risk Matrices'!$A$35:$B$39,2,FALSE),"")</f>
        <v/>
      </c>
      <c r="AC182" s="49"/>
      <c r="AD182" s="101">
        <f t="shared" si="41"/>
        <v>0</v>
      </c>
      <c r="AE182" s="101">
        <f t="shared" si="39"/>
        <v>0</v>
      </c>
      <c r="AF182" s="102">
        <f t="shared" si="42"/>
        <v>0</v>
      </c>
      <c r="AG182" s="50"/>
      <c r="AH182" s="51"/>
      <c r="AI182" s="137"/>
      <c r="AJ182" s="49"/>
      <c r="AK182" s="49"/>
      <c r="AL182" s="101">
        <f t="shared" si="43"/>
        <v>0</v>
      </c>
      <c r="AM182" s="49"/>
      <c r="AN182" s="101">
        <f t="shared" si="44"/>
        <v>0</v>
      </c>
      <c r="AO182" s="101">
        <f t="shared" si="45"/>
        <v>0</v>
      </c>
      <c r="AP182" s="101">
        <f t="shared" si="46"/>
        <v>0</v>
      </c>
      <c r="AQ182" s="49"/>
      <c r="AR182" s="49"/>
      <c r="AS182" s="49"/>
      <c r="AT182" s="55"/>
      <c r="AU182" s="53"/>
      <c r="AV182" s="56"/>
      <c r="AW182" s="54"/>
    </row>
    <row r="183" spans="1:49" s="32" customFormat="1" ht="15.75" x14ac:dyDescent="0.2">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114">
        <f t="shared" si="40"/>
        <v>0</v>
      </c>
      <c r="AB183" s="101" t="str">
        <f>IFERROR(VLOOKUP(AA183,'Risk Matrices'!$A$35:$B$39,2,FALSE),"")</f>
        <v/>
      </c>
      <c r="AC183" s="49"/>
      <c r="AD183" s="101">
        <f t="shared" si="41"/>
        <v>0</v>
      </c>
      <c r="AE183" s="101">
        <f t="shared" si="39"/>
        <v>0</v>
      </c>
      <c r="AF183" s="102">
        <f t="shared" si="42"/>
        <v>0</v>
      </c>
      <c r="AG183" s="50"/>
      <c r="AH183" s="51"/>
      <c r="AI183" s="137"/>
      <c r="AJ183" s="49"/>
      <c r="AK183" s="49"/>
      <c r="AL183" s="101">
        <f t="shared" si="43"/>
        <v>0</v>
      </c>
      <c r="AM183" s="49"/>
      <c r="AN183" s="101">
        <f t="shared" si="44"/>
        <v>0</v>
      </c>
      <c r="AO183" s="101">
        <f t="shared" si="45"/>
        <v>0</v>
      </c>
      <c r="AP183" s="101">
        <f t="shared" si="46"/>
        <v>0</v>
      </c>
      <c r="AQ183" s="49"/>
      <c r="AR183" s="49"/>
      <c r="AS183" s="49"/>
      <c r="AT183" s="55"/>
      <c r="AU183" s="53"/>
      <c r="AV183" s="56"/>
      <c r="AW183" s="54"/>
    </row>
    <row r="184" spans="1:49" s="32" customFormat="1" ht="15.75" x14ac:dyDescent="0.2">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114">
        <f t="shared" si="40"/>
        <v>0</v>
      </c>
      <c r="AB184" s="101" t="str">
        <f>IFERROR(VLOOKUP(AA184,'Risk Matrices'!$A$35:$B$39,2,FALSE),"")</f>
        <v/>
      </c>
      <c r="AC184" s="49"/>
      <c r="AD184" s="101">
        <f t="shared" si="41"/>
        <v>0</v>
      </c>
      <c r="AE184" s="101">
        <f t="shared" si="39"/>
        <v>0</v>
      </c>
      <c r="AF184" s="102">
        <f t="shared" si="42"/>
        <v>0</v>
      </c>
      <c r="AG184" s="50"/>
      <c r="AH184" s="51"/>
      <c r="AI184" s="137"/>
      <c r="AJ184" s="49"/>
      <c r="AK184" s="49"/>
      <c r="AL184" s="101">
        <f t="shared" si="43"/>
        <v>0</v>
      </c>
      <c r="AM184" s="49"/>
      <c r="AN184" s="101">
        <f t="shared" si="44"/>
        <v>0</v>
      </c>
      <c r="AO184" s="101">
        <f t="shared" si="45"/>
        <v>0</v>
      </c>
      <c r="AP184" s="101">
        <f t="shared" si="46"/>
        <v>0</v>
      </c>
      <c r="AQ184" s="49"/>
      <c r="AR184" s="49"/>
      <c r="AS184" s="49"/>
      <c r="AT184" s="55"/>
      <c r="AU184" s="53"/>
      <c r="AV184" s="56"/>
      <c r="AW184" s="54"/>
    </row>
    <row r="185" spans="1:49" s="32" customFormat="1" ht="15.75" x14ac:dyDescent="0.2">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114">
        <f t="shared" si="40"/>
        <v>0</v>
      </c>
      <c r="AB185" s="101" t="str">
        <f>IFERROR(VLOOKUP(AA185,'Risk Matrices'!$A$35:$B$39,2,FALSE),"")</f>
        <v/>
      </c>
      <c r="AC185" s="49"/>
      <c r="AD185" s="101">
        <f t="shared" si="41"/>
        <v>0</v>
      </c>
      <c r="AE185" s="101">
        <f t="shared" si="39"/>
        <v>0</v>
      </c>
      <c r="AF185" s="102">
        <f t="shared" si="42"/>
        <v>0</v>
      </c>
      <c r="AG185" s="50"/>
      <c r="AH185" s="51"/>
      <c r="AI185" s="137"/>
      <c r="AJ185" s="49"/>
      <c r="AK185" s="49"/>
      <c r="AL185" s="101">
        <f t="shared" si="43"/>
        <v>0</v>
      </c>
      <c r="AM185" s="49"/>
      <c r="AN185" s="101">
        <f t="shared" si="44"/>
        <v>0</v>
      </c>
      <c r="AO185" s="101">
        <f t="shared" si="45"/>
        <v>0</v>
      </c>
      <c r="AP185" s="101">
        <f t="shared" si="46"/>
        <v>0</v>
      </c>
      <c r="AQ185" s="49"/>
      <c r="AR185" s="49"/>
      <c r="AS185" s="49"/>
      <c r="AT185" s="55"/>
      <c r="AU185" s="53"/>
      <c r="AV185" s="56"/>
      <c r="AW185" s="54"/>
    </row>
    <row r="186" spans="1:49" s="32" customFormat="1" ht="15.75" x14ac:dyDescent="0.2">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114">
        <f t="shared" si="40"/>
        <v>0</v>
      </c>
      <c r="AB186" s="101" t="str">
        <f>IFERROR(VLOOKUP(AA186,'Risk Matrices'!$A$35:$B$39,2,FALSE),"")</f>
        <v/>
      </c>
      <c r="AC186" s="49"/>
      <c r="AD186" s="101">
        <f t="shared" si="41"/>
        <v>0</v>
      </c>
      <c r="AE186" s="101">
        <f t="shared" si="39"/>
        <v>0</v>
      </c>
      <c r="AF186" s="102">
        <f t="shared" si="42"/>
        <v>0</v>
      </c>
      <c r="AG186" s="50"/>
      <c r="AH186" s="51"/>
      <c r="AI186" s="137"/>
      <c r="AJ186" s="49"/>
      <c r="AK186" s="49"/>
      <c r="AL186" s="101">
        <f t="shared" si="43"/>
        <v>0</v>
      </c>
      <c r="AM186" s="49"/>
      <c r="AN186" s="101">
        <f t="shared" si="44"/>
        <v>0</v>
      </c>
      <c r="AO186" s="101">
        <f t="shared" si="45"/>
        <v>0</v>
      </c>
      <c r="AP186" s="101">
        <f t="shared" si="46"/>
        <v>0</v>
      </c>
      <c r="AQ186" s="49"/>
      <c r="AR186" s="49"/>
      <c r="AS186" s="49"/>
      <c r="AT186" s="55"/>
      <c r="AU186" s="53"/>
      <c r="AV186" s="56"/>
      <c r="AW186" s="54"/>
    </row>
    <row r="187" spans="1:49" s="32" customFormat="1" ht="15.75" x14ac:dyDescent="0.2">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114">
        <f t="shared" si="40"/>
        <v>0</v>
      </c>
      <c r="AB187" s="101" t="str">
        <f>IFERROR(VLOOKUP(AA187,'Risk Matrices'!$A$35:$B$39,2,FALSE),"")</f>
        <v/>
      </c>
      <c r="AC187" s="49"/>
      <c r="AD187" s="101">
        <f t="shared" si="41"/>
        <v>0</v>
      </c>
      <c r="AE187" s="101">
        <f t="shared" si="39"/>
        <v>0</v>
      </c>
      <c r="AF187" s="102">
        <f t="shared" si="42"/>
        <v>0</v>
      </c>
      <c r="AG187" s="50"/>
      <c r="AH187" s="51"/>
      <c r="AI187" s="137"/>
      <c r="AJ187" s="49"/>
      <c r="AK187" s="49"/>
      <c r="AL187" s="101">
        <f t="shared" si="43"/>
        <v>0</v>
      </c>
      <c r="AM187" s="49"/>
      <c r="AN187" s="101">
        <f t="shared" si="44"/>
        <v>0</v>
      </c>
      <c r="AO187" s="101">
        <f t="shared" si="45"/>
        <v>0</v>
      </c>
      <c r="AP187" s="101">
        <f t="shared" si="46"/>
        <v>0</v>
      </c>
      <c r="AQ187" s="49"/>
      <c r="AR187" s="49"/>
      <c r="AS187" s="49"/>
      <c r="AT187" s="55"/>
      <c r="AU187" s="53"/>
      <c r="AV187" s="56"/>
      <c r="AW187" s="54"/>
    </row>
    <row r="188" spans="1:49" s="32" customFormat="1" ht="15.75" x14ac:dyDescent="0.2">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114">
        <f t="shared" si="40"/>
        <v>0</v>
      </c>
      <c r="AB188" s="101" t="str">
        <f>IFERROR(VLOOKUP(AA188,'Risk Matrices'!$A$35:$B$39,2,FALSE),"")</f>
        <v/>
      </c>
      <c r="AC188" s="49"/>
      <c r="AD188" s="101">
        <f t="shared" si="41"/>
        <v>0</v>
      </c>
      <c r="AE188" s="101">
        <f t="shared" si="39"/>
        <v>0</v>
      </c>
      <c r="AF188" s="102">
        <f t="shared" si="42"/>
        <v>0</v>
      </c>
      <c r="AG188" s="50"/>
      <c r="AH188" s="51"/>
      <c r="AI188" s="137"/>
      <c r="AJ188" s="49"/>
      <c r="AK188" s="49"/>
      <c r="AL188" s="101">
        <f t="shared" si="43"/>
        <v>0</v>
      </c>
      <c r="AM188" s="49"/>
      <c r="AN188" s="101">
        <f t="shared" si="44"/>
        <v>0</v>
      </c>
      <c r="AO188" s="101">
        <f t="shared" si="45"/>
        <v>0</v>
      </c>
      <c r="AP188" s="101">
        <f t="shared" si="46"/>
        <v>0</v>
      </c>
      <c r="AQ188" s="49"/>
      <c r="AR188" s="49"/>
      <c r="AS188" s="49"/>
      <c r="AT188" s="55"/>
      <c r="AU188" s="53"/>
      <c r="AV188" s="56"/>
      <c r="AW188" s="54"/>
    </row>
    <row r="189" spans="1:49" s="32" customFormat="1" ht="15.75" x14ac:dyDescent="0.2">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114">
        <f t="shared" si="40"/>
        <v>0</v>
      </c>
      <c r="AB189" s="101" t="str">
        <f>IFERROR(VLOOKUP(AA189,'Risk Matrices'!$A$35:$B$39,2,FALSE),"")</f>
        <v/>
      </c>
      <c r="AC189" s="49"/>
      <c r="AD189" s="101">
        <f t="shared" si="41"/>
        <v>0</v>
      </c>
      <c r="AE189" s="101">
        <f t="shared" si="39"/>
        <v>0</v>
      </c>
      <c r="AF189" s="102">
        <f t="shared" si="42"/>
        <v>0</v>
      </c>
      <c r="AG189" s="50"/>
      <c r="AH189" s="51"/>
      <c r="AI189" s="137"/>
      <c r="AJ189" s="49"/>
      <c r="AK189" s="49"/>
      <c r="AL189" s="101">
        <f t="shared" si="43"/>
        <v>0</v>
      </c>
      <c r="AM189" s="49"/>
      <c r="AN189" s="101">
        <f t="shared" si="44"/>
        <v>0</v>
      </c>
      <c r="AO189" s="101">
        <f t="shared" si="45"/>
        <v>0</v>
      </c>
      <c r="AP189" s="101">
        <f t="shared" si="46"/>
        <v>0</v>
      </c>
      <c r="AQ189" s="49"/>
      <c r="AR189" s="49"/>
      <c r="AS189" s="49"/>
      <c r="AT189" s="55"/>
      <c r="AU189" s="53"/>
      <c r="AV189" s="56"/>
      <c r="AW189" s="54"/>
    </row>
    <row r="190" spans="1:49" s="32" customFormat="1" ht="15.75" x14ac:dyDescent="0.2">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114">
        <f t="shared" si="40"/>
        <v>0</v>
      </c>
      <c r="AB190" s="101" t="str">
        <f>IFERROR(VLOOKUP(AA190,'Risk Matrices'!$A$35:$B$39,2,FALSE),"")</f>
        <v/>
      </c>
      <c r="AC190" s="49"/>
      <c r="AD190" s="101">
        <f t="shared" si="41"/>
        <v>0</v>
      </c>
      <c r="AE190" s="101">
        <f t="shared" si="39"/>
        <v>0</v>
      </c>
      <c r="AF190" s="102">
        <f t="shared" si="42"/>
        <v>0</v>
      </c>
      <c r="AG190" s="50"/>
      <c r="AH190" s="51"/>
      <c r="AI190" s="137"/>
      <c r="AJ190" s="49"/>
      <c r="AK190" s="49"/>
      <c r="AL190" s="101">
        <f t="shared" si="43"/>
        <v>0</v>
      </c>
      <c r="AM190" s="49"/>
      <c r="AN190" s="101">
        <f t="shared" si="44"/>
        <v>0</v>
      </c>
      <c r="AO190" s="101">
        <f t="shared" si="45"/>
        <v>0</v>
      </c>
      <c r="AP190" s="101">
        <f t="shared" si="46"/>
        <v>0</v>
      </c>
      <c r="AQ190" s="49"/>
      <c r="AR190" s="49"/>
      <c r="AS190" s="49"/>
      <c r="AT190" s="55"/>
      <c r="AU190" s="53"/>
      <c r="AV190" s="56"/>
      <c r="AW190" s="54"/>
    </row>
    <row r="191" spans="1:49" s="32" customFormat="1" ht="15.75" x14ac:dyDescent="0.2">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114">
        <f t="shared" si="40"/>
        <v>0</v>
      </c>
      <c r="AB191" s="101" t="str">
        <f>IFERROR(VLOOKUP(AA191,'Risk Matrices'!$A$35:$B$39,2,FALSE),"")</f>
        <v/>
      </c>
      <c r="AC191" s="49"/>
      <c r="AD191" s="101">
        <f t="shared" si="41"/>
        <v>0</v>
      </c>
      <c r="AE191" s="101">
        <f t="shared" si="39"/>
        <v>0</v>
      </c>
      <c r="AF191" s="102">
        <f t="shared" si="42"/>
        <v>0</v>
      </c>
      <c r="AG191" s="50"/>
      <c r="AH191" s="51"/>
      <c r="AI191" s="137"/>
      <c r="AJ191" s="49"/>
      <c r="AK191" s="49"/>
      <c r="AL191" s="101">
        <f t="shared" si="43"/>
        <v>0</v>
      </c>
      <c r="AM191" s="49"/>
      <c r="AN191" s="101">
        <f t="shared" si="44"/>
        <v>0</v>
      </c>
      <c r="AO191" s="101">
        <f t="shared" si="45"/>
        <v>0</v>
      </c>
      <c r="AP191" s="101">
        <f t="shared" si="46"/>
        <v>0</v>
      </c>
      <c r="AQ191" s="49"/>
      <c r="AR191" s="49"/>
      <c r="AS191" s="49"/>
      <c r="AT191" s="55"/>
      <c r="AU191" s="53"/>
      <c r="AV191" s="56"/>
      <c r="AW191" s="54"/>
    </row>
    <row r="192" spans="1:49" s="32" customFormat="1" ht="15.75" x14ac:dyDescent="0.2">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114">
        <f t="shared" si="40"/>
        <v>0</v>
      </c>
      <c r="AB192" s="101" t="str">
        <f>IFERROR(VLOOKUP(AA192,'Risk Matrices'!$A$35:$B$39,2,FALSE),"")</f>
        <v/>
      </c>
      <c r="AC192" s="49"/>
      <c r="AD192" s="101">
        <f t="shared" si="41"/>
        <v>0</v>
      </c>
      <c r="AE192" s="101">
        <f t="shared" si="39"/>
        <v>0</v>
      </c>
      <c r="AF192" s="102">
        <f t="shared" si="42"/>
        <v>0</v>
      </c>
      <c r="AG192" s="50"/>
      <c r="AH192" s="51"/>
      <c r="AI192" s="137"/>
      <c r="AJ192" s="49"/>
      <c r="AK192" s="49"/>
      <c r="AL192" s="101">
        <f t="shared" si="43"/>
        <v>0</v>
      </c>
      <c r="AM192" s="49"/>
      <c r="AN192" s="101">
        <f t="shared" si="44"/>
        <v>0</v>
      </c>
      <c r="AO192" s="101">
        <f t="shared" si="45"/>
        <v>0</v>
      </c>
      <c r="AP192" s="101">
        <f t="shared" si="46"/>
        <v>0</v>
      </c>
      <c r="AQ192" s="49"/>
      <c r="AR192" s="49"/>
      <c r="AS192" s="49"/>
      <c r="AT192" s="55"/>
      <c r="AU192" s="53"/>
      <c r="AV192" s="56"/>
      <c r="AW192" s="54"/>
    </row>
    <row r="193" spans="1:49" s="32" customFormat="1" ht="15.75" x14ac:dyDescent="0.2">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114">
        <f t="shared" si="40"/>
        <v>0</v>
      </c>
      <c r="AB193" s="101" t="str">
        <f>IFERROR(VLOOKUP(AA193,'Risk Matrices'!$A$35:$B$39,2,FALSE),"")</f>
        <v/>
      </c>
      <c r="AC193" s="49"/>
      <c r="AD193" s="101">
        <f t="shared" si="41"/>
        <v>0</v>
      </c>
      <c r="AE193" s="101">
        <f t="shared" si="39"/>
        <v>0</v>
      </c>
      <c r="AF193" s="102">
        <f t="shared" si="42"/>
        <v>0</v>
      </c>
      <c r="AG193" s="50"/>
      <c r="AH193" s="51"/>
      <c r="AI193" s="137"/>
      <c r="AJ193" s="49"/>
      <c r="AK193" s="49"/>
      <c r="AL193" s="101">
        <f t="shared" si="43"/>
        <v>0</v>
      </c>
      <c r="AM193" s="49"/>
      <c r="AN193" s="101">
        <f t="shared" si="44"/>
        <v>0</v>
      </c>
      <c r="AO193" s="101">
        <f t="shared" si="45"/>
        <v>0</v>
      </c>
      <c r="AP193" s="101">
        <f t="shared" si="46"/>
        <v>0</v>
      </c>
      <c r="AQ193" s="49"/>
      <c r="AR193" s="49"/>
      <c r="AS193" s="49"/>
      <c r="AT193" s="55"/>
      <c r="AU193" s="53"/>
      <c r="AV193" s="56"/>
      <c r="AW193" s="54"/>
    </row>
    <row r="194" spans="1:49" s="32" customFormat="1" ht="15.75" x14ac:dyDescent="0.2">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114">
        <f t="shared" si="40"/>
        <v>0</v>
      </c>
      <c r="AB194" s="101" t="str">
        <f>IFERROR(VLOOKUP(AA194,'Risk Matrices'!$A$35:$B$39,2,FALSE),"")</f>
        <v/>
      </c>
      <c r="AC194" s="49"/>
      <c r="AD194" s="101">
        <f t="shared" si="41"/>
        <v>0</v>
      </c>
      <c r="AE194" s="101">
        <f t="shared" si="39"/>
        <v>0</v>
      </c>
      <c r="AF194" s="102">
        <f t="shared" si="42"/>
        <v>0</v>
      </c>
      <c r="AG194" s="50"/>
      <c r="AH194" s="51"/>
      <c r="AI194" s="137"/>
      <c r="AJ194" s="49"/>
      <c r="AK194" s="49"/>
      <c r="AL194" s="101">
        <f t="shared" si="43"/>
        <v>0</v>
      </c>
      <c r="AM194" s="49"/>
      <c r="AN194" s="101">
        <f t="shared" si="44"/>
        <v>0</v>
      </c>
      <c r="AO194" s="101">
        <f t="shared" si="45"/>
        <v>0</v>
      </c>
      <c r="AP194" s="101">
        <f t="shared" si="46"/>
        <v>0</v>
      </c>
      <c r="AQ194" s="49"/>
      <c r="AR194" s="49"/>
      <c r="AS194" s="49"/>
      <c r="AT194" s="55"/>
      <c r="AU194" s="53"/>
      <c r="AV194" s="56"/>
      <c r="AW194" s="54"/>
    </row>
    <row r="195" spans="1:49" s="32" customFormat="1" ht="15.75" x14ac:dyDescent="0.2">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114">
        <f t="shared" si="40"/>
        <v>0</v>
      </c>
      <c r="AB195" s="101" t="str">
        <f>IFERROR(VLOOKUP(AA195,'Risk Matrices'!$A$35:$B$39,2,FALSE),"")</f>
        <v/>
      </c>
      <c r="AC195" s="49"/>
      <c r="AD195" s="101">
        <f t="shared" si="41"/>
        <v>0</v>
      </c>
      <c r="AE195" s="101">
        <f t="shared" si="39"/>
        <v>0</v>
      </c>
      <c r="AF195" s="102">
        <f t="shared" si="42"/>
        <v>0</v>
      </c>
      <c r="AG195" s="50"/>
      <c r="AH195" s="51"/>
      <c r="AI195" s="137"/>
      <c r="AJ195" s="49"/>
      <c r="AK195" s="49"/>
      <c r="AL195" s="101">
        <f t="shared" si="43"/>
        <v>0</v>
      </c>
      <c r="AM195" s="49"/>
      <c r="AN195" s="101">
        <f t="shared" si="44"/>
        <v>0</v>
      </c>
      <c r="AO195" s="101">
        <f t="shared" si="45"/>
        <v>0</v>
      </c>
      <c r="AP195" s="101">
        <f t="shared" si="46"/>
        <v>0</v>
      </c>
      <c r="AQ195" s="49"/>
      <c r="AR195" s="49"/>
      <c r="AS195" s="49"/>
      <c r="AT195" s="55"/>
      <c r="AU195" s="53"/>
      <c r="AV195" s="56"/>
      <c r="AW195" s="54"/>
    </row>
    <row r="196" spans="1:49" s="32" customFormat="1" ht="15.75" x14ac:dyDescent="0.2">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114">
        <f t="shared" si="40"/>
        <v>0</v>
      </c>
      <c r="AB196" s="101" t="str">
        <f>IFERROR(VLOOKUP(AA196,'Risk Matrices'!$A$35:$B$39,2,FALSE),"")</f>
        <v/>
      </c>
      <c r="AC196" s="49"/>
      <c r="AD196" s="101">
        <f t="shared" si="41"/>
        <v>0</v>
      </c>
      <c r="AE196" s="101">
        <f t="shared" ref="AE196:AE259" si="47">AA196*AC196</f>
        <v>0</v>
      </c>
      <c r="AF196" s="102">
        <f t="shared" si="42"/>
        <v>0</v>
      </c>
      <c r="AG196" s="50"/>
      <c r="AH196" s="51"/>
      <c r="AI196" s="137"/>
      <c r="AJ196" s="49"/>
      <c r="AK196" s="49"/>
      <c r="AL196" s="101">
        <f t="shared" si="43"/>
        <v>0</v>
      </c>
      <c r="AM196" s="49"/>
      <c r="AN196" s="101">
        <f t="shared" si="44"/>
        <v>0</v>
      </c>
      <c r="AO196" s="101">
        <f t="shared" si="45"/>
        <v>0</v>
      </c>
      <c r="AP196" s="101">
        <f t="shared" si="46"/>
        <v>0</v>
      </c>
      <c r="AQ196" s="49"/>
      <c r="AR196" s="49"/>
      <c r="AS196" s="49"/>
      <c r="AT196" s="55"/>
      <c r="AU196" s="53"/>
      <c r="AV196" s="56"/>
      <c r="AW196" s="54"/>
    </row>
    <row r="197" spans="1:49" s="32" customFormat="1" ht="15.75" x14ac:dyDescent="0.2">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114">
        <f t="shared" si="40"/>
        <v>0</v>
      </c>
      <c r="AB197" s="101" t="str">
        <f>IFERROR(VLOOKUP(AA197,'Risk Matrices'!$A$35:$B$39,2,FALSE),"")</f>
        <v/>
      </c>
      <c r="AC197" s="49"/>
      <c r="AD197" s="101">
        <f t="shared" si="41"/>
        <v>0</v>
      </c>
      <c r="AE197" s="101">
        <f t="shared" si="47"/>
        <v>0</v>
      </c>
      <c r="AF197" s="102">
        <f t="shared" si="42"/>
        <v>0</v>
      </c>
      <c r="AG197" s="50"/>
      <c r="AH197" s="51"/>
      <c r="AI197" s="137"/>
      <c r="AJ197" s="49"/>
      <c r="AK197" s="49"/>
      <c r="AL197" s="101">
        <f t="shared" si="43"/>
        <v>0</v>
      </c>
      <c r="AM197" s="49"/>
      <c r="AN197" s="101">
        <f t="shared" si="44"/>
        <v>0</v>
      </c>
      <c r="AO197" s="101">
        <f t="shared" si="45"/>
        <v>0</v>
      </c>
      <c r="AP197" s="101">
        <f t="shared" si="46"/>
        <v>0</v>
      </c>
      <c r="AQ197" s="49"/>
      <c r="AR197" s="49"/>
      <c r="AS197" s="49"/>
      <c r="AT197" s="55"/>
      <c r="AU197" s="53"/>
      <c r="AV197" s="56"/>
      <c r="AW197" s="54"/>
    </row>
    <row r="198" spans="1:49" s="32" customFormat="1" ht="15.75" x14ac:dyDescent="0.2">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114">
        <f t="shared" si="40"/>
        <v>0</v>
      </c>
      <c r="AB198" s="101" t="str">
        <f>IFERROR(VLOOKUP(AA198,'Risk Matrices'!$A$35:$B$39,2,FALSE),"")</f>
        <v/>
      </c>
      <c r="AC198" s="49"/>
      <c r="AD198" s="101">
        <f t="shared" si="41"/>
        <v>0</v>
      </c>
      <c r="AE198" s="101">
        <f t="shared" si="47"/>
        <v>0</v>
      </c>
      <c r="AF198" s="102">
        <f t="shared" si="42"/>
        <v>0</v>
      </c>
      <c r="AG198" s="50"/>
      <c r="AH198" s="51"/>
      <c r="AI198" s="137"/>
      <c r="AJ198" s="49"/>
      <c r="AK198" s="49"/>
      <c r="AL198" s="101">
        <f t="shared" si="43"/>
        <v>0</v>
      </c>
      <c r="AM198" s="49"/>
      <c r="AN198" s="101">
        <f t="shared" si="44"/>
        <v>0</v>
      </c>
      <c r="AO198" s="101">
        <f t="shared" si="45"/>
        <v>0</v>
      </c>
      <c r="AP198" s="101">
        <f t="shared" si="46"/>
        <v>0</v>
      </c>
      <c r="AQ198" s="49"/>
      <c r="AR198" s="49"/>
      <c r="AS198" s="49"/>
      <c r="AT198" s="55"/>
      <c r="AU198" s="53"/>
      <c r="AV198" s="56"/>
      <c r="AW198" s="54"/>
    </row>
    <row r="199" spans="1:49" s="32" customFormat="1" ht="15.75" x14ac:dyDescent="0.2">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114">
        <f t="shared" si="40"/>
        <v>0</v>
      </c>
      <c r="AB199" s="101" t="str">
        <f>IFERROR(VLOOKUP(AA199,'Risk Matrices'!$A$35:$B$39,2,FALSE),"")</f>
        <v/>
      </c>
      <c r="AC199" s="49"/>
      <c r="AD199" s="101">
        <f t="shared" si="41"/>
        <v>0</v>
      </c>
      <c r="AE199" s="101">
        <f t="shared" si="47"/>
        <v>0</v>
      </c>
      <c r="AF199" s="102">
        <f t="shared" si="42"/>
        <v>0</v>
      </c>
      <c r="AG199" s="50"/>
      <c r="AH199" s="51"/>
      <c r="AI199" s="137"/>
      <c r="AJ199" s="49"/>
      <c r="AK199" s="49"/>
      <c r="AL199" s="101">
        <f t="shared" si="43"/>
        <v>0</v>
      </c>
      <c r="AM199" s="49"/>
      <c r="AN199" s="101">
        <f t="shared" si="44"/>
        <v>0</v>
      </c>
      <c r="AO199" s="101">
        <f t="shared" si="45"/>
        <v>0</v>
      </c>
      <c r="AP199" s="101">
        <f t="shared" si="46"/>
        <v>0</v>
      </c>
      <c r="AQ199" s="49"/>
      <c r="AR199" s="49"/>
      <c r="AS199" s="49"/>
      <c r="AT199" s="55"/>
      <c r="AU199" s="53"/>
      <c r="AV199" s="56"/>
      <c r="AW199" s="54"/>
    </row>
    <row r="200" spans="1:49" s="32" customFormat="1" ht="15.75" x14ac:dyDescent="0.2">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114">
        <f t="shared" si="40"/>
        <v>0</v>
      </c>
      <c r="AB200" s="101" t="str">
        <f>IFERROR(VLOOKUP(AA200,'Risk Matrices'!$A$35:$B$39,2,FALSE),"")</f>
        <v/>
      </c>
      <c r="AC200" s="49"/>
      <c r="AD200" s="101">
        <f t="shared" si="41"/>
        <v>0</v>
      </c>
      <c r="AE200" s="101">
        <f t="shared" si="47"/>
        <v>0</v>
      </c>
      <c r="AF200" s="102">
        <f t="shared" si="42"/>
        <v>0</v>
      </c>
      <c r="AG200" s="50"/>
      <c r="AH200" s="51"/>
      <c r="AI200" s="137"/>
      <c r="AJ200" s="49"/>
      <c r="AK200" s="49"/>
      <c r="AL200" s="101">
        <f t="shared" si="43"/>
        <v>0</v>
      </c>
      <c r="AM200" s="49"/>
      <c r="AN200" s="101">
        <f t="shared" si="44"/>
        <v>0</v>
      </c>
      <c r="AO200" s="101">
        <f t="shared" si="45"/>
        <v>0</v>
      </c>
      <c r="AP200" s="101">
        <f t="shared" si="46"/>
        <v>0</v>
      </c>
      <c r="AQ200" s="49"/>
      <c r="AR200" s="49"/>
      <c r="AS200" s="49"/>
      <c r="AT200" s="55"/>
      <c r="AU200" s="53"/>
      <c r="AV200" s="56"/>
      <c r="AW200" s="54"/>
    </row>
    <row r="201" spans="1:49" s="32" customFormat="1" ht="15.75" x14ac:dyDescent="0.2">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114">
        <f t="shared" si="40"/>
        <v>0</v>
      </c>
      <c r="AB201" s="101" t="str">
        <f>IFERROR(VLOOKUP(AA201,'Risk Matrices'!$A$35:$B$39,2,FALSE),"")</f>
        <v/>
      </c>
      <c r="AC201" s="49"/>
      <c r="AD201" s="101">
        <f t="shared" si="41"/>
        <v>0</v>
      </c>
      <c r="AE201" s="101">
        <f t="shared" si="47"/>
        <v>0</v>
      </c>
      <c r="AF201" s="102">
        <f t="shared" si="42"/>
        <v>0</v>
      </c>
      <c r="AG201" s="50"/>
      <c r="AH201" s="51"/>
      <c r="AI201" s="137"/>
      <c r="AJ201" s="49"/>
      <c r="AK201" s="49"/>
      <c r="AL201" s="101">
        <f t="shared" si="43"/>
        <v>0</v>
      </c>
      <c r="AM201" s="49"/>
      <c r="AN201" s="101">
        <f t="shared" si="44"/>
        <v>0</v>
      </c>
      <c r="AO201" s="101">
        <f t="shared" si="45"/>
        <v>0</v>
      </c>
      <c r="AP201" s="101">
        <f t="shared" si="46"/>
        <v>0</v>
      </c>
      <c r="AQ201" s="49"/>
      <c r="AR201" s="49"/>
      <c r="AS201" s="49"/>
      <c r="AT201" s="55"/>
      <c r="AU201" s="53"/>
      <c r="AV201" s="56"/>
      <c r="AW201" s="54"/>
    </row>
    <row r="202" spans="1:49" s="32" customFormat="1" ht="15.75" x14ac:dyDescent="0.2">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114">
        <f t="shared" si="40"/>
        <v>0</v>
      </c>
      <c r="AB202" s="101" t="str">
        <f>IFERROR(VLOOKUP(AA202,'Risk Matrices'!$A$35:$B$39,2,FALSE),"")</f>
        <v/>
      </c>
      <c r="AC202" s="49"/>
      <c r="AD202" s="101">
        <f t="shared" si="41"/>
        <v>0</v>
      </c>
      <c r="AE202" s="101">
        <f t="shared" si="47"/>
        <v>0</v>
      </c>
      <c r="AF202" s="102">
        <f t="shared" si="42"/>
        <v>0</v>
      </c>
      <c r="AG202" s="50"/>
      <c r="AH202" s="51"/>
      <c r="AI202" s="137"/>
      <c r="AJ202" s="49"/>
      <c r="AK202" s="49"/>
      <c r="AL202" s="101">
        <f t="shared" si="43"/>
        <v>0</v>
      </c>
      <c r="AM202" s="49"/>
      <c r="AN202" s="101">
        <f t="shared" si="44"/>
        <v>0</v>
      </c>
      <c r="AO202" s="101">
        <f t="shared" si="45"/>
        <v>0</v>
      </c>
      <c r="AP202" s="101">
        <f t="shared" si="46"/>
        <v>0</v>
      </c>
      <c r="AQ202" s="49"/>
      <c r="AR202" s="49"/>
      <c r="AS202" s="49"/>
      <c r="AT202" s="55"/>
      <c r="AU202" s="53"/>
      <c r="AV202" s="56"/>
      <c r="AW202" s="54"/>
    </row>
    <row r="203" spans="1:49" s="32" customFormat="1" ht="15.75" x14ac:dyDescent="0.2">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114">
        <f t="shared" si="40"/>
        <v>0</v>
      </c>
      <c r="AB203" s="101" t="str">
        <f>IFERROR(VLOOKUP(AA203,'Risk Matrices'!$A$35:$B$39,2,FALSE),"")</f>
        <v/>
      </c>
      <c r="AC203" s="49"/>
      <c r="AD203" s="101">
        <f t="shared" si="41"/>
        <v>0</v>
      </c>
      <c r="AE203" s="101">
        <f t="shared" si="47"/>
        <v>0</v>
      </c>
      <c r="AF203" s="102">
        <f t="shared" si="42"/>
        <v>0</v>
      </c>
      <c r="AG203" s="50"/>
      <c r="AH203" s="51"/>
      <c r="AI203" s="137"/>
      <c r="AJ203" s="49"/>
      <c r="AK203" s="49"/>
      <c r="AL203" s="101">
        <f t="shared" si="43"/>
        <v>0</v>
      </c>
      <c r="AM203" s="49"/>
      <c r="AN203" s="101">
        <f t="shared" si="44"/>
        <v>0</v>
      </c>
      <c r="AO203" s="101">
        <f t="shared" si="45"/>
        <v>0</v>
      </c>
      <c r="AP203" s="101">
        <f t="shared" si="46"/>
        <v>0</v>
      </c>
      <c r="AQ203" s="49"/>
      <c r="AR203" s="49"/>
      <c r="AS203" s="49"/>
      <c r="AT203" s="55"/>
      <c r="AU203" s="53"/>
      <c r="AV203" s="56"/>
      <c r="AW203" s="54"/>
    </row>
    <row r="204" spans="1:49" s="32" customFormat="1" ht="15.75" x14ac:dyDescent="0.2">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114">
        <f t="shared" si="40"/>
        <v>0</v>
      </c>
      <c r="AB204" s="101" t="str">
        <f>IFERROR(VLOOKUP(AA204,'Risk Matrices'!$A$35:$B$39,2,FALSE),"")</f>
        <v/>
      </c>
      <c r="AC204" s="49"/>
      <c r="AD204" s="101">
        <f t="shared" si="41"/>
        <v>0</v>
      </c>
      <c r="AE204" s="101">
        <f t="shared" si="47"/>
        <v>0</v>
      </c>
      <c r="AF204" s="102">
        <f t="shared" si="42"/>
        <v>0</v>
      </c>
      <c r="AG204" s="50"/>
      <c r="AH204" s="51"/>
      <c r="AI204" s="137"/>
      <c r="AJ204" s="49"/>
      <c r="AK204" s="49"/>
      <c r="AL204" s="101">
        <f t="shared" si="43"/>
        <v>0</v>
      </c>
      <c r="AM204" s="49"/>
      <c r="AN204" s="101">
        <f t="shared" si="44"/>
        <v>0</v>
      </c>
      <c r="AO204" s="101">
        <f t="shared" si="45"/>
        <v>0</v>
      </c>
      <c r="AP204" s="101">
        <f t="shared" si="46"/>
        <v>0</v>
      </c>
      <c r="AQ204" s="49"/>
      <c r="AR204" s="49"/>
      <c r="AS204" s="49"/>
      <c r="AT204" s="55"/>
      <c r="AU204" s="53"/>
      <c r="AV204" s="56"/>
      <c r="AW204" s="54"/>
    </row>
    <row r="205" spans="1:49" s="32" customFormat="1" ht="15.75" x14ac:dyDescent="0.2">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114">
        <f t="shared" si="40"/>
        <v>0</v>
      </c>
      <c r="AB205" s="101" t="str">
        <f>IFERROR(VLOOKUP(AA205,'Risk Matrices'!$A$35:$B$39,2,FALSE),"")</f>
        <v/>
      </c>
      <c r="AC205" s="49"/>
      <c r="AD205" s="101">
        <f t="shared" si="41"/>
        <v>0</v>
      </c>
      <c r="AE205" s="101">
        <f t="shared" si="47"/>
        <v>0</v>
      </c>
      <c r="AF205" s="102">
        <f t="shared" si="42"/>
        <v>0</v>
      </c>
      <c r="AG205" s="50"/>
      <c r="AH205" s="51"/>
      <c r="AI205" s="137"/>
      <c r="AJ205" s="49"/>
      <c r="AK205" s="49"/>
      <c r="AL205" s="101">
        <f t="shared" si="43"/>
        <v>0</v>
      </c>
      <c r="AM205" s="49"/>
      <c r="AN205" s="101">
        <f t="shared" si="44"/>
        <v>0</v>
      </c>
      <c r="AO205" s="101">
        <f t="shared" si="45"/>
        <v>0</v>
      </c>
      <c r="AP205" s="101">
        <f t="shared" si="46"/>
        <v>0</v>
      </c>
      <c r="AQ205" s="49"/>
      <c r="AR205" s="49"/>
      <c r="AS205" s="49"/>
      <c r="AT205" s="55"/>
      <c r="AU205" s="53"/>
      <c r="AV205" s="56"/>
      <c r="AW205" s="54"/>
    </row>
    <row r="206" spans="1:49" s="32" customFormat="1" ht="15.75" x14ac:dyDescent="0.2">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114">
        <f t="shared" si="40"/>
        <v>0</v>
      </c>
      <c r="AB206" s="101" t="str">
        <f>IFERROR(VLOOKUP(AA206,'Risk Matrices'!$A$35:$B$39,2,FALSE),"")</f>
        <v/>
      </c>
      <c r="AC206" s="49"/>
      <c r="AD206" s="101">
        <f t="shared" si="41"/>
        <v>0</v>
      </c>
      <c r="AE206" s="101">
        <f t="shared" si="47"/>
        <v>0</v>
      </c>
      <c r="AF206" s="102">
        <f t="shared" si="42"/>
        <v>0</v>
      </c>
      <c r="AG206" s="50"/>
      <c r="AH206" s="51"/>
      <c r="AI206" s="137"/>
      <c r="AJ206" s="49"/>
      <c r="AK206" s="49"/>
      <c r="AL206" s="101">
        <f t="shared" si="43"/>
        <v>0</v>
      </c>
      <c r="AM206" s="49"/>
      <c r="AN206" s="101">
        <f t="shared" si="44"/>
        <v>0</v>
      </c>
      <c r="AO206" s="101">
        <f t="shared" si="45"/>
        <v>0</v>
      </c>
      <c r="AP206" s="101">
        <f t="shared" si="46"/>
        <v>0</v>
      </c>
      <c r="AQ206" s="49"/>
      <c r="AR206" s="49"/>
      <c r="AS206" s="49"/>
      <c r="AT206" s="55"/>
      <c r="AU206" s="53"/>
      <c r="AV206" s="56"/>
      <c r="AW206" s="54"/>
    </row>
    <row r="207" spans="1:49" s="32" customFormat="1" ht="15.75" x14ac:dyDescent="0.2">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114">
        <f t="shared" si="40"/>
        <v>0</v>
      </c>
      <c r="AB207" s="101" t="str">
        <f>IFERROR(VLOOKUP(AA207,'Risk Matrices'!$A$35:$B$39,2,FALSE),"")</f>
        <v/>
      </c>
      <c r="AC207" s="49"/>
      <c r="AD207" s="101">
        <f t="shared" si="41"/>
        <v>0</v>
      </c>
      <c r="AE207" s="101">
        <f t="shared" si="47"/>
        <v>0</v>
      </c>
      <c r="AF207" s="102">
        <f t="shared" si="42"/>
        <v>0</v>
      </c>
      <c r="AG207" s="50"/>
      <c r="AH207" s="51"/>
      <c r="AI207" s="137"/>
      <c r="AJ207" s="49"/>
      <c r="AK207" s="49"/>
      <c r="AL207" s="101">
        <f t="shared" si="43"/>
        <v>0</v>
      </c>
      <c r="AM207" s="49"/>
      <c r="AN207" s="101">
        <f t="shared" si="44"/>
        <v>0</v>
      </c>
      <c r="AO207" s="101">
        <f t="shared" si="45"/>
        <v>0</v>
      </c>
      <c r="AP207" s="101">
        <f t="shared" si="46"/>
        <v>0</v>
      </c>
      <c r="AQ207" s="49"/>
      <c r="AR207" s="49"/>
      <c r="AS207" s="49"/>
      <c r="AT207" s="55"/>
      <c r="AU207" s="53"/>
      <c r="AV207" s="56"/>
      <c r="AW207" s="54"/>
    </row>
    <row r="208" spans="1:49" s="32" customFormat="1" ht="15.75" x14ac:dyDescent="0.2">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114">
        <f t="shared" si="40"/>
        <v>0</v>
      </c>
      <c r="AB208" s="101" t="str">
        <f>IFERROR(VLOOKUP(AA208,'Risk Matrices'!$A$35:$B$39,2,FALSE),"")</f>
        <v/>
      </c>
      <c r="AC208" s="49"/>
      <c r="AD208" s="101">
        <f t="shared" si="41"/>
        <v>0</v>
      </c>
      <c r="AE208" s="101">
        <f t="shared" si="47"/>
        <v>0</v>
      </c>
      <c r="AF208" s="102">
        <f t="shared" si="42"/>
        <v>0</v>
      </c>
      <c r="AG208" s="50"/>
      <c r="AH208" s="51"/>
      <c r="AI208" s="137"/>
      <c r="AJ208" s="49"/>
      <c r="AK208" s="49"/>
      <c r="AL208" s="101">
        <f t="shared" si="43"/>
        <v>0</v>
      </c>
      <c r="AM208" s="49"/>
      <c r="AN208" s="101">
        <f t="shared" si="44"/>
        <v>0</v>
      </c>
      <c r="AO208" s="101">
        <f t="shared" si="45"/>
        <v>0</v>
      </c>
      <c r="AP208" s="101">
        <f t="shared" si="46"/>
        <v>0</v>
      </c>
      <c r="AQ208" s="49"/>
      <c r="AR208" s="49"/>
      <c r="AS208" s="49"/>
      <c r="AT208" s="55"/>
      <c r="AU208" s="53"/>
      <c r="AV208" s="56"/>
      <c r="AW208" s="54"/>
    </row>
    <row r="209" spans="1:49" s="32" customFormat="1" ht="15.75" x14ac:dyDescent="0.2">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114">
        <f t="shared" si="40"/>
        <v>0</v>
      </c>
      <c r="AB209" s="101" t="str">
        <f>IFERROR(VLOOKUP(AA209,'Risk Matrices'!$A$35:$B$39,2,FALSE),"")</f>
        <v/>
      </c>
      <c r="AC209" s="49"/>
      <c r="AD209" s="101">
        <f t="shared" si="41"/>
        <v>0</v>
      </c>
      <c r="AE209" s="101">
        <f t="shared" si="47"/>
        <v>0</v>
      </c>
      <c r="AF209" s="102">
        <f t="shared" si="42"/>
        <v>0</v>
      </c>
      <c r="AG209" s="50"/>
      <c r="AH209" s="51"/>
      <c r="AI209" s="137"/>
      <c r="AJ209" s="49"/>
      <c r="AK209" s="49"/>
      <c r="AL209" s="101">
        <f t="shared" si="43"/>
        <v>0</v>
      </c>
      <c r="AM209" s="49"/>
      <c r="AN209" s="101">
        <f t="shared" si="44"/>
        <v>0</v>
      </c>
      <c r="AO209" s="101">
        <f t="shared" si="45"/>
        <v>0</v>
      </c>
      <c r="AP209" s="101">
        <f t="shared" si="46"/>
        <v>0</v>
      </c>
      <c r="AQ209" s="49"/>
      <c r="AR209" s="49"/>
      <c r="AS209" s="49"/>
      <c r="AT209" s="55"/>
      <c r="AU209" s="53"/>
      <c r="AV209" s="56"/>
      <c r="AW209" s="54"/>
    </row>
    <row r="210" spans="1:49" s="32" customFormat="1" ht="15.75" x14ac:dyDescent="0.2">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114">
        <f t="shared" si="40"/>
        <v>0</v>
      </c>
      <c r="AB210" s="101" t="str">
        <f>IFERROR(VLOOKUP(AA210,'Risk Matrices'!$A$35:$B$39,2,FALSE),"")</f>
        <v/>
      </c>
      <c r="AC210" s="49"/>
      <c r="AD210" s="101">
        <f t="shared" si="41"/>
        <v>0</v>
      </c>
      <c r="AE210" s="101">
        <f t="shared" si="47"/>
        <v>0</v>
      </c>
      <c r="AF210" s="102">
        <f t="shared" si="42"/>
        <v>0</v>
      </c>
      <c r="AG210" s="50"/>
      <c r="AH210" s="51"/>
      <c r="AI210" s="137"/>
      <c r="AJ210" s="49"/>
      <c r="AK210" s="49"/>
      <c r="AL210" s="101">
        <f t="shared" si="43"/>
        <v>0</v>
      </c>
      <c r="AM210" s="49"/>
      <c r="AN210" s="101">
        <f t="shared" si="44"/>
        <v>0</v>
      </c>
      <c r="AO210" s="101">
        <f t="shared" si="45"/>
        <v>0</v>
      </c>
      <c r="AP210" s="101">
        <f t="shared" si="46"/>
        <v>0</v>
      </c>
      <c r="AQ210" s="49"/>
      <c r="AR210" s="49"/>
      <c r="AS210" s="49"/>
      <c r="AT210" s="55"/>
      <c r="AU210" s="53"/>
      <c r="AV210" s="56"/>
      <c r="AW210" s="54"/>
    </row>
    <row r="211" spans="1:49" s="32" customFormat="1" ht="15.75" x14ac:dyDescent="0.2">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114">
        <f t="shared" si="40"/>
        <v>0</v>
      </c>
      <c r="AB211" s="101" t="str">
        <f>IFERROR(VLOOKUP(AA211,'Risk Matrices'!$A$35:$B$39,2,FALSE),"")</f>
        <v/>
      </c>
      <c r="AC211" s="49"/>
      <c r="AD211" s="101">
        <f t="shared" si="41"/>
        <v>0</v>
      </c>
      <c r="AE211" s="101">
        <f t="shared" si="47"/>
        <v>0</v>
      </c>
      <c r="AF211" s="102">
        <f t="shared" si="42"/>
        <v>0</v>
      </c>
      <c r="AG211" s="50"/>
      <c r="AH211" s="51"/>
      <c r="AI211" s="137"/>
      <c r="AJ211" s="49"/>
      <c r="AK211" s="49"/>
      <c r="AL211" s="101">
        <f t="shared" si="43"/>
        <v>0</v>
      </c>
      <c r="AM211" s="49"/>
      <c r="AN211" s="101">
        <f t="shared" si="44"/>
        <v>0</v>
      </c>
      <c r="AO211" s="101">
        <f t="shared" si="45"/>
        <v>0</v>
      </c>
      <c r="AP211" s="101">
        <f t="shared" si="46"/>
        <v>0</v>
      </c>
      <c r="AQ211" s="49"/>
      <c r="AR211" s="49"/>
      <c r="AS211" s="49"/>
      <c r="AT211" s="55"/>
      <c r="AU211" s="53"/>
      <c r="AV211" s="56"/>
      <c r="AW211" s="54"/>
    </row>
    <row r="212" spans="1:49" s="32" customFormat="1" ht="15.75" x14ac:dyDescent="0.2">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114">
        <f t="shared" si="40"/>
        <v>0</v>
      </c>
      <c r="AB212" s="101" t="str">
        <f>IFERROR(VLOOKUP(AA212,'Risk Matrices'!$A$35:$B$39,2,FALSE),"")</f>
        <v/>
      </c>
      <c r="AC212" s="49"/>
      <c r="AD212" s="101">
        <f t="shared" si="41"/>
        <v>0</v>
      </c>
      <c r="AE212" s="101">
        <f t="shared" si="47"/>
        <v>0</v>
      </c>
      <c r="AF212" s="102">
        <f t="shared" si="42"/>
        <v>0</v>
      </c>
      <c r="AG212" s="50"/>
      <c r="AH212" s="51"/>
      <c r="AI212" s="137"/>
      <c r="AJ212" s="49"/>
      <c r="AK212" s="49"/>
      <c r="AL212" s="101">
        <f t="shared" si="43"/>
        <v>0</v>
      </c>
      <c r="AM212" s="49"/>
      <c r="AN212" s="101">
        <f t="shared" si="44"/>
        <v>0</v>
      </c>
      <c r="AO212" s="101">
        <f t="shared" si="45"/>
        <v>0</v>
      </c>
      <c r="AP212" s="101">
        <f t="shared" si="46"/>
        <v>0</v>
      </c>
      <c r="AQ212" s="49"/>
      <c r="AR212" s="49"/>
      <c r="AS212" s="49"/>
      <c r="AT212" s="55"/>
      <c r="AU212" s="53"/>
      <c r="AV212" s="56"/>
      <c r="AW212" s="54"/>
    </row>
    <row r="213" spans="1:49" s="32" customFormat="1" ht="15.75" x14ac:dyDescent="0.2">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114">
        <f t="shared" si="40"/>
        <v>0</v>
      </c>
      <c r="AB213" s="101" t="str">
        <f>IFERROR(VLOOKUP(AA213,'Risk Matrices'!$A$35:$B$39,2,FALSE),"")</f>
        <v/>
      </c>
      <c r="AC213" s="49"/>
      <c r="AD213" s="101">
        <f t="shared" si="41"/>
        <v>0</v>
      </c>
      <c r="AE213" s="101">
        <f t="shared" si="47"/>
        <v>0</v>
      </c>
      <c r="AF213" s="102">
        <f t="shared" si="42"/>
        <v>0</v>
      </c>
      <c r="AG213" s="50"/>
      <c r="AH213" s="51"/>
      <c r="AI213" s="137"/>
      <c r="AJ213" s="49"/>
      <c r="AK213" s="49"/>
      <c r="AL213" s="101">
        <f t="shared" si="43"/>
        <v>0</v>
      </c>
      <c r="AM213" s="49"/>
      <c r="AN213" s="101">
        <f t="shared" si="44"/>
        <v>0</v>
      </c>
      <c r="AO213" s="101">
        <f t="shared" si="45"/>
        <v>0</v>
      </c>
      <c r="AP213" s="101">
        <f t="shared" si="46"/>
        <v>0</v>
      </c>
      <c r="AQ213" s="49"/>
      <c r="AR213" s="49"/>
      <c r="AS213" s="49"/>
      <c r="AT213" s="55"/>
      <c r="AU213" s="53"/>
      <c r="AV213" s="56"/>
      <c r="AW213" s="54"/>
    </row>
    <row r="214" spans="1:49" s="32" customFormat="1" ht="15.75" x14ac:dyDescent="0.2">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114">
        <f t="shared" si="40"/>
        <v>0</v>
      </c>
      <c r="AB214" s="101" t="str">
        <f>IFERROR(VLOOKUP(AA214,'Risk Matrices'!$A$35:$B$39,2,FALSE),"")</f>
        <v/>
      </c>
      <c r="AC214" s="49"/>
      <c r="AD214" s="101">
        <f t="shared" si="41"/>
        <v>0</v>
      </c>
      <c r="AE214" s="101">
        <f t="shared" si="47"/>
        <v>0</v>
      </c>
      <c r="AF214" s="102">
        <f t="shared" si="42"/>
        <v>0</v>
      </c>
      <c r="AG214" s="50"/>
      <c r="AH214" s="51"/>
      <c r="AI214" s="137"/>
      <c r="AJ214" s="49"/>
      <c r="AK214" s="49"/>
      <c r="AL214" s="101">
        <f t="shared" si="43"/>
        <v>0</v>
      </c>
      <c r="AM214" s="49"/>
      <c r="AN214" s="101">
        <f t="shared" si="44"/>
        <v>0</v>
      </c>
      <c r="AO214" s="101">
        <f t="shared" si="45"/>
        <v>0</v>
      </c>
      <c r="AP214" s="101">
        <f t="shared" si="46"/>
        <v>0</v>
      </c>
      <c r="AQ214" s="49"/>
      <c r="AR214" s="49"/>
      <c r="AS214" s="49"/>
      <c r="AT214" s="55"/>
      <c r="AU214" s="53"/>
      <c r="AV214" s="56"/>
      <c r="AW214" s="54"/>
    </row>
    <row r="215" spans="1:49" s="32" customFormat="1" ht="15.75" x14ac:dyDescent="0.2">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114">
        <f t="shared" si="40"/>
        <v>0</v>
      </c>
      <c r="AB215" s="101" t="str">
        <f>IFERROR(VLOOKUP(AA215,'Risk Matrices'!$A$35:$B$39,2,FALSE),"")</f>
        <v/>
      </c>
      <c r="AC215" s="49"/>
      <c r="AD215" s="101">
        <f t="shared" si="41"/>
        <v>0</v>
      </c>
      <c r="AE215" s="101">
        <f t="shared" si="47"/>
        <v>0</v>
      </c>
      <c r="AF215" s="102">
        <f t="shared" si="42"/>
        <v>0</v>
      </c>
      <c r="AG215" s="50"/>
      <c r="AH215" s="51"/>
      <c r="AI215" s="137"/>
      <c r="AJ215" s="49"/>
      <c r="AK215" s="49"/>
      <c r="AL215" s="101">
        <f t="shared" si="43"/>
        <v>0</v>
      </c>
      <c r="AM215" s="49"/>
      <c r="AN215" s="101">
        <f t="shared" si="44"/>
        <v>0</v>
      </c>
      <c r="AO215" s="101">
        <f t="shared" si="45"/>
        <v>0</v>
      </c>
      <c r="AP215" s="101">
        <f t="shared" si="46"/>
        <v>0</v>
      </c>
      <c r="AQ215" s="49"/>
      <c r="AR215" s="49"/>
      <c r="AS215" s="49"/>
      <c r="AT215" s="55"/>
      <c r="AU215" s="53"/>
      <c r="AV215" s="56"/>
      <c r="AW215" s="54"/>
    </row>
    <row r="216" spans="1:49" s="32" customFormat="1" ht="15.75" x14ac:dyDescent="0.2">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114">
        <f t="shared" si="40"/>
        <v>0</v>
      </c>
      <c r="AB216" s="101" t="str">
        <f>IFERROR(VLOOKUP(AA216,'Risk Matrices'!$A$35:$B$39,2,FALSE),"")</f>
        <v/>
      </c>
      <c r="AC216" s="49"/>
      <c r="AD216" s="101">
        <f t="shared" si="41"/>
        <v>0</v>
      </c>
      <c r="AE216" s="101">
        <f t="shared" si="47"/>
        <v>0</v>
      </c>
      <c r="AF216" s="102">
        <f t="shared" si="42"/>
        <v>0</v>
      </c>
      <c r="AG216" s="50"/>
      <c r="AH216" s="51"/>
      <c r="AI216" s="137"/>
      <c r="AJ216" s="49"/>
      <c r="AK216" s="49"/>
      <c r="AL216" s="101">
        <f t="shared" si="43"/>
        <v>0</v>
      </c>
      <c r="AM216" s="49"/>
      <c r="AN216" s="101">
        <f t="shared" si="44"/>
        <v>0</v>
      </c>
      <c r="AO216" s="101">
        <f t="shared" si="45"/>
        <v>0</v>
      </c>
      <c r="AP216" s="101">
        <f t="shared" si="46"/>
        <v>0</v>
      </c>
      <c r="AQ216" s="49"/>
      <c r="AR216" s="49"/>
      <c r="AS216" s="49"/>
      <c r="AT216" s="55"/>
      <c r="AU216" s="53"/>
      <c r="AV216" s="56"/>
      <c r="AW216" s="54"/>
    </row>
    <row r="217" spans="1:49" s="32" customFormat="1" ht="15.75" x14ac:dyDescent="0.2">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114">
        <f t="shared" si="40"/>
        <v>0</v>
      </c>
      <c r="AB217" s="101" t="str">
        <f>IFERROR(VLOOKUP(AA217,'Risk Matrices'!$A$35:$B$39,2,FALSE),"")</f>
        <v/>
      </c>
      <c r="AC217" s="49"/>
      <c r="AD217" s="101">
        <f t="shared" si="41"/>
        <v>0</v>
      </c>
      <c r="AE217" s="101">
        <f t="shared" si="47"/>
        <v>0</v>
      </c>
      <c r="AF217" s="102">
        <f t="shared" si="42"/>
        <v>0</v>
      </c>
      <c r="AG217" s="50"/>
      <c r="AH217" s="51"/>
      <c r="AI217" s="137"/>
      <c r="AJ217" s="49"/>
      <c r="AK217" s="49"/>
      <c r="AL217" s="101">
        <f t="shared" si="43"/>
        <v>0</v>
      </c>
      <c r="AM217" s="49"/>
      <c r="AN217" s="101">
        <f t="shared" si="44"/>
        <v>0</v>
      </c>
      <c r="AO217" s="101">
        <f t="shared" si="45"/>
        <v>0</v>
      </c>
      <c r="AP217" s="101">
        <f t="shared" si="46"/>
        <v>0</v>
      </c>
      <c r="AQ217" s="49"/>
      <c r="AR217" s="49"/>
      <c r="AS217" s="49"/>
      <c r="AT217" s="55"/>
      <c r="AU217" s="53"/>
      <c r="AV217" s="56"/>
      <c r="AW217" s="54"/>
    </row>
    <row r="218" spans="1:49" s="32" customFormat="1" ht="15.75" x14ac:dyDescent="0.2">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c r="AA218" s="114">
        <f t="shared" si="40"/>
        <v>0</v>
      </c>
      <c r="AB218" s="101" t="str">
        <f>IFERROR(VLOOKUP(AA218,'Risk Matrices'!$A$35:$B$39,2,FALSE),"")</f>
        <v/>
      </c>
      <c r="AC218" s="49"/>
      <c r="AD218" s="101">
        <f t="shared" si="41"/>
        <v>0</v>
      </c>
      <c r="AE218" s="101">
        <f t="shared" si="47"/>
        <v>0</v>
      </c>
      <c r="AF218" s="102">
        <f t="shared" si="42"/>
        <v>0</v>
      </c>
      <c r="AG218" s="50"/>
      <c r="AH218" s="51"/>
      <c r="AI218" s="137"/>
      <c r="AJ218" s="49"/>
      <c r="AK218" s="49"/>
      <c r="AL218" s="101">
        <f t="shared" si="43"/>
        <v>0</v>
      </c>
      <c r="AM218" s="49"/>
      <c r="AN218" s="101">
        <f t="shared" si="44"/>
        <v>0</v>
      </c>
      <c r="AO218" s="101">
        <f t="shared" si="45"/>
        <v>0</v>
      </c>
      <c r="AP218" s="101">
        <f t="shared" si="46"/>
        <v>0</v>
      </c>
      <c r="AQ218" s="49"/>
      <c r="AR218" s="49"/>
      <c r="AS218" s="49"/>
      <c r="AT218" s="55"/>
      <c r="AU218" s="53"/>
      <c r="AV218" s="56"/>
      <c r="AW218" s="54"/>
    </row>
    <row r="219" spans="1:49" s="32" customFormat="1" ht="15.75" x14ac:dyDescent="0.2">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c r="AA219" s="114">
        <f t="shared" si="40"/>
        <v>0</v>
      </c>
      <c r="AB219" s="101" t="str">
        <f>IFERROR(VLOOKUP(AA219,'Risk Matrices'!$A$35:$B$39,2,FALSE),"")</f>
        <v/>
      </c>
      <c r="AC219" s="49"/>
      <c r="AD219" s="101">
        <f t="shared" si="41"/>
        <v>0</v>
      </c>
      <c r="AE219" s="101">
        <f t="shared" si="47"/>
        <v>0</v>
      </c>
      <c r="AF219" s="102">
        <f t="shared" si="42"/>
        <v>0</v>
      </c>
      <c r="AG219" s="50"/>
      <c r="AH219" s="51"/>
      <c r="AI219" s="137"/>
      <c r="AJ219" s="49"/>
      <c r="AK219" s="49"/>
      <c r="AL219" s="101">
        <f t="shared" si="43"/>
        <v>0</v>
      </c>
      <c r="AM219" s="49"/>
      <c r="AN219" s="101">
        <f t="shared" si="44"/>
        <v>0</v>
      </c>
      <c r="AO219" s="101">
        <f t="shared" si="45"/>
        <v>0</v>
      </c>
      <c r="AP219" s="101">
        <f t="shared" si="46"/>
        <v>0</v>
      </c>
      <c r="AQ219" s="49"/>
      <c r="AR219" s="49"/>
      <c r="AS219" s="49"/>
      <c r="AT219" s="55"/>
      <c r="AU219" s="53"/>
      <c r="AV219" s="56"/>
      <c r="AW219" s="54"/>
    </row>
    <row r="220" spans="1:49" s="32" customFormat="1" ht="15.75" x14ac:dyDescent="0.2">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c r="AA220" s="114">
        <f t="shared" si="40"/>
        <v>0</v>
      </c>
      <c r="AB220" s="101" t="str">
        <f>IFERROR(VLOOKUP(AA220,'Risk Matrices'!$A$35:$B$39,2,FALSE),"")</f>
        <v/>
      </c>
      <c r="AC220" s="49"/>
      <c r="AD220" s="101">
        <f t="shared" si="41"/>
        <v>0</v>
      </c>
      <c r="AE220" s="101">
        <f t="shared" si="47"/>
        <v>0</v>
      </c>
      <c r="AF220" s="102">
        <f t="shared" si="42"/>
        <v>0</v>
      </c>
      <c r="AG220" s="50"/>
      <c r="AH220" s="51"/>
      <c r="AI220" s="137"/>
      <c r="AJ220" s="49"/>
      <c r="AK220" s="49"/>
      <c r="AL220" s="101">
        <f t="shared" si="43"/>
        <v>0</v>
      </c>
      <c r="AM220" s="49"/>
      <c r="AN220" s="101">
        <f t="shared" si="44"/>
        <v>0</v>
      </c>
      <c r="AO220" s="101">
        <f t="shared" si="45"/>
        <v>0</v>
      </c>
      <c r="AP220" s="101">
        <f t="shared" si="46"/>
        <v>0</v>
      </c>
      <c r="AQ220" s="49"/>
      <c r="AR220" s="49"/>
      <c r="AS220" s="49"/>
      <c r="AT220" s="55"/>
      <c r="AU220" s="53"/>
      <c r="AV220" s="56"/>
      <c r="AW220" s="54"/>
    </row>
    <row r="221" spans="1:49" s="32" customFormat="1" ht="15.75" x14ac:dyDescent="0.2">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c r="AA221" s="114">
        <f t="shared" si="40"/>
        <v>0</v>
      </c>
      <c r="AB221" s="101" t="str">
        <f>IFERROR(VLOOKUP(AA221,'Risk Matrices'!$A$35:$B$39,2,FALSE),"")</f>
        <v/>
      </c>
      <c r="AC221" s="49"/>
      <c r="AD221" s="101">
        <f t="shared" si="41"/>
        <v>0</v>
      </c>
      <c r="AE221" s="101">
        <f t="shared" si="47"/>
        <v>0</v>
      </c>
      <c r="AF221" s="102">
        <f t="shared" si="42"/>
        <v>0</v>
      </c>
      <c r="AG221" s="50"/>
      <c r="AH221" s="51"/>
      <c r="AI221" s="137"/>
      <c r="AJ221" s="49"/>
      <c r="AK221" s="49"/>
      <c r="AL221" s="101">
        <f t="shared" si="43"/>
        <v>0</v>
      </c>
      <c r="AM221" s="49"/>
      <c r="AN221" s="101">
        <f t="shared" si="44"/>
        <v>0</v>
      </c>
      <c r="AO221" s="101">
        <f t="shared" si="45"/>
        <v>0</v>
      </c>
      <c r="AP221" s="101">
        <f t="shared" si="46"/>
        <v>0</v>
      </c>
      <c r="AQ221" s="49"/>
      <c r="AR221" s="49"/>
      <c r="AS221" s="49"/>
      <c r="AT221" s="55"/>
      <c r="AU221" s="53"/>
      <c r="AV221" s="56"/>
      <c r="AW221" s="54"/>
    </row>
    <row r="222" spans="1:49" s="32" customFormat="1" ht="15.75" x14ac:dyDescent="0.2">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c r="AA222" s="114">
        <f t="shared" si="40"/>
        <v>0</v>
      </c>
      <c r="AB222" s="101" t="str">
        <f>IFERROR(VLOOKUP(AA222,'Risk Matrices'!$A$35:$B$39,2,FALSE),"")</f>
        <v/>
      </c>
      <c r="AC222" s="49"/>
      <c r="AD222" s="101">
        <f t="shared" si="41"/>
        <v>0</v>
      </c>
      <c r="AE222" s="101">
        <f t="shared" si="47"/>
        <v>0</v>
      </c>
      <c r="AF222" s="102">
        <f t="shared" si="42"/>
        <v>0</v>
      </c>
      <c r="AG222" s="50"/>
      <c r="AH222" s="51"/>
      <c r="AI222" s="137"/>
      <c r="AJ222" s="49"/>
      <c r="AK222" s="49"/>
      <c r="AL222" s="101">
        <f t="shared" si="43"/>
        <v>0</v>
      </c>
      <c r="AM222" s="49"/>
      <c r="AN222" s="101">
        <f t="shared" si="44"/>
        <v>0</v>
      </c>
      <c r="AO222" s="101">
        <f t="shared" si="45"/>
        <v>0</v>
      </c>
      <c r="AP222" s="101">
        <f t="shared" si="46"/>
        <v>0</v>
      </c>
      <c r="AQ222" s="49"/>
      <c r="AR222" s="49"/>
      <c r="AS222" s="49"/>
      <c r="AT222" s="55"/>
      <c r="AU222" s="53"/>
      <c r="AV222" s="56"/>
      <c r="AW222" s="54"/>
    </row>
    <row r="223" spans="1:49" s="32" customFormat="1" ht="15.75" x14ac:dyDescent="0.2">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c r="AA223" s="114">
        <f t="shared" si="40"/>
        <v>0</v>
      </c>
      <c r="AB223" s="101" t="str">
        <f>IFERROR(VLOOKUP(AA223,'Risk Matrices'!$A$35:$B$39,2,FALSE),"")</f>
        <v/>
      </c>
      <c r="AC223" s="49"/>
      <c r="AD223" s="101">
        <f t="shared" si="41"/>
        <v>0</v>
      </c>
      <c r="AE223" s="101">
        <f t="shared" si="47"/>
        <v>0</v>
      </c>
      <c r="AF223" s="102">
        <f t="shared" si="42"/>
        <v>0</v>
      </c>
      <c r="AG223" s="50"/>
      <c r="AH223" s="51"/>
      <c r="AI223" s="137"/>
      <c r="AJ223" s="49"/>
      <c r="AK223" s="49"/>
      <c r="AL223" s="101">
        <f t="shared" si="43"/>
        <v>0</v>
      </c>
      <c r="AM223" s="49"/>
      <c r="AN223" s="101">
        <f t="shared" si="44"/>
        <v>0</v>
      </c>
      <c r="AO223" s="101">
        <f t="shared" si="45"/>
        <v>0</v>
      </c>
      <c r="AP223" s="101">
        <f t="shared" si="46"/>
        <v>0</v>
      </c>
      <c r="AQ223" s="49"/>
      <c r="AR223" s="49"/>
      <c r="AS223" s="49"/>
      <c r="AT223" s="55"/>
      <c r="AU223" s="53"/>
      <c r="AV223" s="56"/>
      <c r="AW223" s="54"/>
    </row>
    <row r="224" spans="1:49" s="32" customFormat="1" ht="15.75" x14ac:dyDescent="0.2">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c r="AA224" s="114">
        <f t="shared" si="40"/>
        <v>0</v>
      </c>
      <c r="AB224" s="101" t="str">
        <f>IFERROR(VLOOKUP(AA224,'Risk Matrices'!$A$35:$B$39,2,FALSE),"")</f>
        <v/>
      </c>
      <c r="AC224" s="49"/>
      <c r="AD224" s="101">
        <f t="shared" si="41"/>
        <v>0</v>
      </c>
      <c r="AE224" s="101">
        <f t="shared" si="47"/>
        <v>0</v>
      </c>
      <c r="AF224" s="102">
        <f t="shared" si="42"/>
        <v>0</v>
      </c>
      <c r="AG224" s="50"/>
      <c r="AH224" s="51"/>
      <c r="AI224" s="137"/>
      <c r="AJ224" s="49"/>
      <c r="AK224" s="49"/>
      <c r="AL224" s="101">
        <f t="shared" si="43"/>
        <v>0</v>
      </c>
      <c r="AM224" s="49"/>
      <c r="AN224" s="101">
        <f t="shared" si="44"/>
        <v>0</v>
      </c>
      <c r="AO224" s="101">
        <f t="shared" si="45"/>
        <v>0</v>
      </c>
      <c r="AP224" s="101">
        <f t="shared" si="46"/>
        <v>0</v>
      </c>
      <c r="AQ224" s="49"/>
      <c r="AR224" s="49"/>
      <c r="AS224" s="49"/>
      <c r="AT224" s="55"/>
      <c r="AU224" s="53"/>
      <c r="AV224" s="56"/>
      <c r="AW224" s="54"/>
    </row>
    <row r="225" spans="1:49" s="32" customFormat="1" ht="15.75" x14ac:dyDescent="0.2">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c r="AA225" s="114">
        <f t="shared" si="40"/>
        <v>0</v>
      </c>
      <c r="AB225" s="101" t="str">
        <f>IFERROR(VLOOKUP(AA225,'Risk Matrices'!$A$35:$B$39,2,FALSE),"")</f>
        <v/>
      </c>
      <c r="AC225" s="49"/>
      <c r="AD225" s="101">
        <f t="shared" si="41"/>
        <v>0</v>
      </c>
      <c r="AE225" s="101">
        <f t="shared" si="47"/>
        <v>0</v>
      </c>
      <c r="AF225" s="102">
        <f t="shared" si="42"/>
        <v>0</v>
      </c>
      <c r="AG225" s="50"/>
      <c r="AH225" s="51"/>
      <c r="AI225" s="137"/>
      <c r="AJ225" s="49"/>
      <c r="AK225" s="49"/>
      <c r="AL225" s="101">
        <f t="shared" si="43"/>
        <v>0</v>
      </c>
      <c r="AM225" s="49"/>
      <c r="AN225" s="101">
        <f t="shared" si="44"/>
        <v>0</v>
      </c>
      <c r="AO225" s="101">
        <f t="shared" si="45"/>
        <v>0</v>
      </c>
      <c r="AP225" s="101">
        <f t="shared" si="46"/>
        <v>0</v>
      </c>
      <c r="AQ225" s="49"/>
      <c r="AR225" s="49"/>
      <c r="AS225" s="49"/>
      <c r="AT225" s="55"/>
      <c r="AU225" s="53"/>
      <c r="AV225" s="56"/>
      <c r="AW225" s="54"/>
    </row>
    <row r="226" spans="1:49" s="32" customFormat="1" ht="15.75" x14ac:dyDescent="0.2">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c r="AA226" s="114">
        <f t="shared" ref="AA226:AA275" si="48">MAX(R226:Z226)</f>
        <v>0</v>
      </c>
      <c r="AB226" s="101" t="str">
        <f>IFERROR(VLOOKUP(AA226,'Risk Matrices'!$A$35:$B$39,2,FALSE),"")</f>
        <v/>
      </c>
      <c r="AC226" s="49"/>
      <c r="AD226" s="101">
        <f t="shared" ref="AD226:AD275" si="49">IF(AC226=1,"Very Low",IF(AC226=2,"Low",IF(AC226=3,"Medium",IF(AC226=4,"High",IF(AC226=5,"Very High",)))))</f>
        <v>0</v>
      </c>
      <c r="AE226" s="101">
        <f t="shared" si="47"/>
        <v>0</v>
      </c>
      <c r="AF226" s="102">
        <f t="shared" ref="AF226:AF275" si="50">IF(AE226=1,"Very Low",IF(AE226=2,"Very Low",IF(AE226=3,"Very Low",IF(AE226=4,"Very Low",IF(AE226=5,"Very Low",IF(AE226=6,"Very Low",IF(AE226=8,"Low",IF(AE226=9,"Low",IF(AE226=10,"Medium",IF(AE226=12,"Medium",IF(AE226=15,"High",IF(AE226=16,"High",IF(AE226=20,"Very High",IF(AE226=25,"Very High",))))))))))))))</f>
        <v>0</v>
      </c>
      <c r="AG226" s="50"/>
      <c r="AH226" s="51"/>
      <c r="AI226" s="137"/>
      <c r="AJ226" s="49"/>
      <c r="AK226" s="49"/>
      <c r="AL226" s="101">
        <f t="shared" ref="AL226:AL275" si="51">IF(AH226=1,"Very Low",IF(AH226=2,"Low",IF(AH226=3,"Medium",IF(AH226=4,"High",IF(AH226=5,"Very High",)))))</f>
        <v>0</v>
      </c>
      <c r="AM226" s="49"/>
      <c r="AN226" s="101">
        <f t="shared" ref="AN226:AN275" si="52">IF(AM226=1,"Very Low",IF(AM226=2,"Low",IF(AM226=3,"Medium",IF(AM226=4,"High",IF(AM226=5,"Very High",)))))</f>
        <v>0</v>
      </c>
      <c r="AO226" s="101">
        <f t="shared" ref="AO226:AO275" si="53">AH226*AM226</f>
        <v>0</v>
      </c>
      <c r="AP226" s="101">
        <f t="shared" ref="AP226:AP275" si="54">IF(AO226=1,"Very Low",IF(AO226=2,"Very Low",IF(AO226=3,"Very Low",IF(AO226=4,"Very Low",IF(AO226=5,"Very Low",IF(AO226=6,"Very Low",IF(AO226=8,"Low",IF(AO226=9,"Low",IF(AO226=10,"Medium",IF(AO226=12,"Medium",IF(AO226=15,"High",IF(AO226=16,"High",IF(AO226=20,"Very High",IF(AO226=25,"Very High",))))))))))))))</f>
        <v>0</v>
      </c>
      <c r="AQ226" s="49"/>
      <c r="AR226" s="49"/>
      <c r="AS226" s="49"/>
      <c r="AT226" s="55"/>
      <c r="AU226" s="53"/>
      <c r="AV226" s="56"/>
      <c r="AW226" s="54"/>
    </row>
    <row r="227" spans="1:49" s="32" customFormat="1" ht="15.75" x14ac:dyDescent="0.2">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c r="AA227" s="114">
        <f t="shared" si="48"/>
        <v>0</v>
      </c>
      <c r="AB227" s="101" t="str">
        <f>IFERROR(VLOOKUP(AA227,'Risk Matrices'!$A$35:$B$39,2,FALSE),"")</f>
        <v/>
      </c>
      <c r="AC227" s="49"/>
      <c r="AD227" s="101">
        <f t="shared" si="49"/>
        <v>0</v>
      </c>
      <c r="AE227" s="101">
        <f t="shared" si="47"/>
        <v>0</v>
      </c>
      <c r="AF227" s="102">
        <f t="shared" si="50"/>
        <v>0</v>
      </c>
      <c r="AG227" s="50"/>
      <c r="AH227" s="51"/>
      <c r="AI227" s="137"/>
      <c r="AJ227" s="49"/>
      <c r="AK227" s="49"/>
      <c r="AL227" s="101">
        <f t="shared" si="51"/>
        <v>0</v>
      </c>
      <c r="AM227" s="49"/>
      <c r="AN227" s="101">
        <f t="shared" si="52"/>
        <v>0</v>
      </c>
      <c r="AO227" s="101">
        <f t="shared" si="53"/>
        <v>0</v>
      </c>
      <c r="AP227" s="101">
        <f t="shared" si="54"/>
        <v>0</v>
      </c>
      <c r="AQ227" s="49"/>
      <c r="AR227" s="49"/>
      <c r="AS227" s="49"/>
      <c r="AT227" s="55"/>
      <c r="AU227" s="53"/>
      <c r="AV227" s="56"/>
      <c r="AW227" s="54"/>
    </row>
    <row r="228" spans="1:49" s="32" customFormat="1" ht="15.75" x14ac:dyDescent="0.2">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c r="AA228" s="114">
        <f t="shared" si="48"/>
        <v>0</v>
      </c>
      <c r="AB228" s="101" t="str">
        <f>IFERROR(VLOOKUP(AA228,'Risk Matrices'!$A$35:$B$39,2,FALSE),"")</f>
        <v/>
      </c>
      <c r="AC228" s="49"/>
      <c r="AD228" s="101">
        <f t="shared" si="49"/>
        <v>0</v>
      </c>
      <c r="AE228" s="101">
        <f t="shared" si="47"/>
        <v>0</v>
      </c>
      <c r="AF228" s="102">
        <f t="shared" si="50"/>
        <v>0</v>
      </c>
      <c r="AG228" s="50"/>
      <c r="AH228" s="51"/>
      <c r="AI228" s="137"/>
      <c r="AJ228" s="49"/>
      <c r="AK228" s="49"/>
      <c r="AL228" s="101">
        <f t="shared" si="51"/>
        <v>0</v>
      </c>
      <c r="AM228" s="49"/>
      <c r="AN228" s="101">
        <f t="shared" si="52"/>
        <v>0</v>
      </c>
      <c r="AO228" s="101">
        <f t="shared" si="53"/>
        <v>0</v>
      </c>
      <c r="AP228" s="101">
        <f t="shared" si="54"/>
        <v>0</v>
      </c>
      <c r="AQ228" s="49"/>
      <c r="AR228" s="49"/>
      <c r="AS228" s="49"/>
      <c r="AT228" s="55"/>
      <c r="AU228" s="53"/>
      <c r="AV228" s="56"/>
      <c r="AW228" s="54"/>
    </row>
    <row r="229" spans="1:49" s="32" customFormat="1" ht="15.75" x14ac:dyDescent="0.2">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c r="AA229" s="114">
        <f t="shared" si="48"/>
        <v>0</v>
      </c>
      <c r="AB229" s="101" t="str">
        <f>IFERROR(VLOOKUP(AA229,'Risk Matrices'!$A$35:$B$39,2,FALSE),"")</f>
        <v/>
      </c>
      <c r="AC229" s="49"/>
      <c r="AD229" s="101">
        <f t="shared" si="49"/>
        <v>0</v>
      </c>
      <c r="AE229" s="101">
        <f t="shared" si="47"/>
        <v>0</v>
      </c>
      <c r="AF229" s="102">
        <f t="shared" si="50"/>
        <v>0</v>
      </c>
      <c r="AG229" s="50"/>
      <c r="AH229" s="51"/>
      <c r="AI229" s="137"/>
      <c r="AJ229" s="49"/>
      <c r="AK229" s="49"/>
      <c r="AL229" s="101">
        <f t="shared" si="51"/>
        <v>0</v>
      </c>
      <c r="AM229" s="49"/>
      <c r="AN229" s="101">
        <f t="shared" si="52"/>
        <v>0</v>
      </c>
      <c r="AO229" s="101">
        <f t="shared" si="53"/>
        <v>0</v>
      </c>
      <c r="AP229" s="101">
        <f t="shared" si="54"/>
        <v>0</v>
      </c>
      <c r="AQ229" s="49"/>
      <c r="AR229" s="49"/>
      <c r="AS229" s="49"/>
      <c r="AT229" s="55"/>
      <c r="AU229" s="53"/>
      <c r="AV229" s="56"/>
      <c r="AW229" s="54"/>
    </row>
    <row r="230" spans="1:49" s="32" customFormat="1" ht="15.75" x14ac:dyDescent="0.2">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c r="AA230" s="114">
        <f t="shared" si="48"/>
        <v>0</v>
      </c>
      <c r="AB230" s="101" t="str">
        <f>IFERROR(VLOOKUP(AA230,'Risk Matrices'!$A$35:$B$39,2,FALSE),"")</f>
        <v/>
      </c>
      <c r="AC230" s="49"/>
      <c r="AD230" s="101">
        <f t="shared" si="49"/>
        <v>0</v>
      </c>
      <c r="AE230" s="101">
        <f t="shared" si="47"/>
        <v>0</v>
      </c>
      <c r="AF230" s="102">
        <f t="shared" si="50"/>
        <v>0</v>
      </c>
      <c r="AG230" s="50"/>
      <c r="AH230" s="51"/>
      <c r="AI230" s="137"/>
      <c r="AJ230" s="49"/>
      <c r="AK230" s="49"/>
      <c r="AL230" s="101">
        <f t="shared" si="51"/>
        <v>0</v>
      </c>
      <c r="AM230" s="49"/>
      <c r="AN230" s="101">
        <f t="shared" si="52"/>
        <v>0</v>
      </c>
      <c r="AO230" s="101">
        <f t="shared" si="53"/>
        <v>0</v>
      </c>
      <c r="AP230" s="101">
        <f t="shared" si="54"/>
        <v>0</v>
      </c>
      <c r="AQ230" s="49"/>
      <c r="AR230" s="49"/>
      <c r="AS230" s="49"/>
      <c r="AT230" s="55"/>
      <c r="AU230" s="53"/>
      <c r="AV230" s="56"/>
      <c r="AW230" s="54"/>
    </row>
    <row r="231" spans="1:49" s="32" customFormat="1" ht="15.75" x14ac:dyDescent="0.2">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c r="AA231" s="114">
        <f t="shared" si="48"/>
        <v>0</v>
      </c>
      <c r="AB231" s="101" t="str">
        <f>IFERROR(VLOOKUP(AA231,'Risk Matrices'!$A$35:$B$39,2,FALSE),"")</f>
        <v/>
      </c>
      <c r="AC231" s="49"/>
      <c r="AD231" s="101">
        <f t="shared" si="49"/>
        <v>0</v>
      </c>
      <c r="AE231" s="101">
        <f t="shared" si="47"/>
        <v>0</v>
      </c>
      <c r="AF231" s="102">
        <f t="shared" si="50"/>
        <v>0</v>
      </c>
      <c r="AG231" s="50"/>
      <c r="AH231" s="51"/>
      <c r="AI231" s="137"/>
      <c r="AJ231" s="49"/>
      <c r="AK231" s="49"/>
      <c r="AL231" s="101">
        <f t="shared" si="51"/>
        <v>0</v>
      </c>
      <c r="AM231" s="49"/>
      <c r="AN231" s="101">
        <f t="shared" si="52"/>
        <v>0</v>
      </c>
      <c r="AO231" s="101">
        <f t="shared" si="53"/>
        <v>0</v>
      </c>
      <c r="AP231" s="101">
        <f t="shared" si="54"/>
        <v>0</v>
      </c>
      <c r="AQ231" s="49"/>
      <c r="AR231" s="49"/>
      <c r="AS231" s="49"/>
      <c r="AT231" s="55"/>
      <c r="AU231" s="53"/>
      <c r="AV231" s="56"/>
      <c r="AW231" s="54"/>
    </row>
    <row r="232" spans="1:49" s="32" customFormat="1" ht="15.75" x14ac:dyDescent="0.2">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c r="AA232" s="114">
        <f t="shared" si="48"/>
        <v>0</v>
      </c>
      <c r="AB232" s="101" t="str">
        <f>IFERROR(VLOOKUP(AA232,'Risk Matrices'!$A$35:$B$39,2,FALSE),"")</f>
        <v/>
      </c>
      <c r="AC232" s="49"/>
      <c r="AD232" s="101">
        <f t="shared" si="49"/>
        <v>0</v>
      </c>
      <c r="AE232" s="101">
        <f t="shared" si="47"/>
        <v>0</v>
      </c>
      <c r="AF232" s="102">
        <f t="shared" si="50"/>
        <v>0</v>
      </c>
      <c r="AG232" s="50"/>
      <c r="AH232" s="51"/>
      <c r="AI232" s="137"/>
      <c r="AJ232" s="49"/>
      <c r="AK232" s="49"/>
      <c r="AL232" s="101">
        <f t="shared" si="51"/>
        <v>0</v>
      </c>
      <c r="AM232" s="49"/>
      <c r="AN232" s="101">
        <f t="shared" si="52"/>
        <v>0</v>
      </c>
      <c r="AO232" s="101">
        <f t="shared" si="53"/>
        <v>0</v>
      </c>
      <c r="AP232" s="101">
        <f t="shared" si="54"/>
        <v>0</v>
      </c>
      <c r="AQ232" s="49"/>
      <c r="AR232" s="49"/>
      <c r="AS232" s="49"/>
      <c r="AT232" s="55"/>
      <c r="AU232" s="53"/>
      <c r="AV232" s="56"/>
      <c r="AW232" s="54"/>
    </row>
    <row r="233" spans="1:49" s="32" customFormat="1" ht="15.75" x14ac:dyDescent="0.2">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c r="AA233" s="114">
        <f t="shared" si="48"/>
        <v>0</v>
      </c>
      <c r="AB233" s="101" t="str">
        <f>IFERROR(VLOOKUP(AA233,'Risk Matrices'!$A$35:$B$39,2,FALSE),"")</f>
        <v/>
      </c>
      <c r="AC233" s="49"/>
      <c r="AD233" s="101">
        <f t="shared" si="49"/>
        <v>0</v>
      </c>
      <c r="AE233" s="101">
        <f t="shared" si="47"/>
        <v>0</v>
      </c>
      <c r="AF233" s="102">
        <f t="shared" si="50"/>
        <v>0</v>
      </c>
      <c r="AG233" s="50"/>
      <c r="AH233" s="51"/>
      <c r="AI233" s="137"/>
      <c r="AJ233" s="49"/>
      <c r="AK233" s="49"/>
      <c r="AL233" s="101">
        <f t="shared" si="51"/>
        <v>0</v>
      </c>
      <c r="AM233" s="49"/>
      <c r="AN233" s="101">
        <f t="shared" si="52"/>
        <v>0</v>
      </c>
      <c r="AO233" s="101">
        <f t="shared" si="53"/>
        <v>0</v>
      </c>
      <c r="AP233" s="101">
        <f t="shared" si="54"/>
        <v>0</v>
      </c>
      <c r="AQ233" s="49"/>
      <c r="AR233" s="49"/>
      <c r="AS233" s="49"/>
      <c r="AT233" s="55"/>
      <c r="AU233" s="53"/>
      <c r="AV233" s="56"/>
      <c r="AW233" s="54"/>
    </row>
    <row r="234" spans="1:49" s="32" customFormat="1" ht="15.75" x14ac:dyDescent="0.2">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c r="AA234" s="114">
        <f t="shared" si="48"/>
        <v>0</v>
      </c>
      <c r="AB234" s="101" t="str">
        <f>IFERROR(VLOOKUP(AA234,'Risk Matrices'!$A$35:$B$39,2,FALSE),"")</f>
        <v/>
      </c>
      <c r="AC234" s="49"/>
      <c r="AD234" s="101">
        <f t="shared" si="49"/>
        <v>0</v>
      </c>
      <c r="AE234" s="101">
        <f t="shared" si="47"/>
        <v>0</v>
      </c>
      <c r="AF234" s="102">
        <f t="shared" si="50"/>
        <v>0</v>
      </c>
      <c r="AG234" s="50"/>
      <c r="AH234" s="51"/>
      <c r="AI234" s="137"/>
      <c r="AJ234" s="49"/>
      <c r="AK234" s="49"/>
      <c r="AL234" s="101">
        <f t="shared" si="51"/>
        <v>0</v>
      </c>
      <c r="AM234" s="49"/>
      <c r="AN234" s="101">
        <f t="shared" si="52"/>
        <v>0</v>
      </c>
      <c r="AO234" s="101">
        <f t="shared" si="53"/>
        <v>0</v>
      </c>
      <c r="AP234" s="101">
        <f t="shared" si="54"/>
        <v>0</v>
      </c>
      <c r="AQ234" s="49"/>
      <c r="AR234" s="49"/>
      <c r="AS234" s="49"/>
      <c r="AT234" s="55"/>
      <c r="AU234" s="53"/>
      <c r="AV234" s="56"/>
      <c r="AW234" s="54"/>
    </row>
    <row r="235" spans="1:49" s="32" customFormat="1" ht="15.75" x14ac:dyDescent="0.2">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c r="AA235" s="114">
        <f t="shared" si="48"/>
        <v>0</v>
      </c>
      <c r="AB235" s="101" t="str">
        <f>IFERROR(VLOOKUP(AA235,'Risk Matrices'!$A$35:$B$39,2,FALSE),"")</f>
        <v/>
      </c>
      <c r="AC235" s="49"/>
      <c r="AD235" s="101">
        <f t="shared" si="49"/>
        <v>0</v>
      </c>
      <c r="AE235" s="101">
        <f t="shared" si="47"/>
        <v>0</v>
      </c>
      <c r="AF235" s="102">
        <f t="shared" si="50"/>
        <v>0</v>
      </c>
      <c r="AG235" s="50"/>
      <c r="AH235" s="51"/>
      <c r="AI235" s="137"/>
      <c r="AJ235" s="49"/>
      <c r="AK235" s="49"/>
      <c r="AL235" s="101">
        <f t="shared" si="51"/>
        <v>0</v>
      </c>
      <c r="AM235" s="49"/>
      <c r="AN235" s="101">
        <f t="shared" si="52"/>
        <v>0</v>
      </c>
      <c r="AO235" s="101">
        <f t="shared" si="53"/>
        <v>0</v>
      </c>
      <c r="AP235" s="101">
        <f t="shared" si="54"/>
        <v>0</v>
      </c>
      <c r="AQ235" s="49"/>
      <c r="AR235" s="49"/>
      <c r="AS235" s="49"/>
      <c r="AT235" s="55"/>
      <c r="AU235" s="53"/>
      <c r="AV235" s="56"/>
      <c r="AW235" s="54"/>
    </row>
    <row r="236" spans="1:49" s="32" customFormat="1" ht="15.75" x14ac:dyDescent="0.2">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c r="AA236" s="114">
        <f t="shared" si="48"/>
        <v>0</v>
      </c>
      <c r="AB236" s="101" t="str">
        <f>IFERROR(VLOOKUP(AA236,'Risk Matrices'!$A$35:$B$39,2,FALSE),"")</f>
        <v/>
      </c>
      <c r="AC236" s="49"/>
      <c r="AD236" s="101">
        <f t="shared" si="49"/>
        <v>0</v>
      </c>
      <c r="AE236" s="101">
        <f t="shared" si="47"/>
        <v>0</v>
      </c>
      <c r="AF236" s="102">
        <f t="shared" si="50"/>
        <v>0</v>
      </c>
      <c r="AG236" s="50"/>
      <c r="AH236" s="51"/>
      <c r="AI236" s="137"/>
      <c r="AJ236" s="49"/>
      <c r="AK236" s="49"/>
      <c r="AL236" s="101">
        <f t="shared" si="51"/>
        <v>0</v>
      </c>
      <c r="AM236" s="49"/>
      <c r="AN236" s="101">
        <f t="shared" si="52"/>
        <v>0</v>
      </c>
      <c r="AO236" s="101">
        <f t="shared" si="53"/>
        <v>0</v>
      </c>
      <c r="AP236" s="101">
        <f t="shared" si="54"/>
        <v>0</v>
      </c>
      <c r="AQ236" s="49"/>
      <c r="AR236" s="49"/>
      <c r="AS236" s="49"/>
      <c r="AT236" s="55"/>
      <c r="AU236" s="53"/>
      <c r="AV236" s="56"/>
      <c r="AW236" s="54"/>
    </row>
    <row r="237" spans="1:49" s="32" customFormat="1" ht="15.75" x14ac:dyDescent="0.2">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c r="AA237" s="114">
        <f t="shared" si="48"/>
        <v>0</v>
      </c>
      <c r="AB237" s="101" t="str">
        <f>IFERROR(VLOOKUP(AA237,'Risk Matrices'!$A$35:$B$39,2,FALSE),"")</f>
        <v/>
      </c>
      <c r="AC237" s="49"/>
      <c r="AD237" s="101">
        <f t="shared" si="49"/>
        <v>0</v>
      </c>
      <c r="AE237" s="101">
        <f t="shared" si="47"/>
        <v>0</v>
      </c>
      <c r="AF237" s="102">
        <f t="shared" si="50"/>
        <v>0</v>
      </c>
      <c r="AG237" s="50"/>
      <c r="AH237" s="51"/>
      <c r="AI237" s="137"/>
      <c r="AJ237" s="49"/>
      <c r="AK237" s="49"/>
      <c r="AL237" s="101">
        <f t="shared" si="51"/>
        <v>0</v>
      </c>
      <c r="AM237" s="49"/>
      <c r="AN237" s="101">
        <f t="shared" si="52"/>
        <v>0</v>
      </c>
      <c r="AO237" s="101">
        <f t="shared" si="53"/>
        <v>0</v>
      </c>
      <c r="AP237" s="101">
        <f t="shared" si="54"/>
        <v>0</v>
      </c>
      <c r="AQ237" s="49"/>
      <c r="AR237" s="49"/>
      <c r="AS237" s="49"/>
      <c r="AT237" s="55"/>
      <c r="AU237" s="53"/>
      <c r="AV237" s="56"/>
      <c r="AW237" s="54"/>
    </row>
    <row r="238" spans="1:49" s="32" customFormat="1" ht="15.75" x14ac:dyDescent="0.2">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c r="AA238" s="114">
        <f t="shared" si="48"/>
        <v>0</v>
      </c>
      <c r="AB238" s="101" t="str">
        <f>IFERROR(VLOOKUP(AA238,'Risk Matrices'!$A$35:$B$39,2,FALSE),"")</f>
        <v/>
      </c>
      <c r="AC238" s="49"/>
      <c r="AD238" s="101">
        <f t="shared" si="49"/>
        <v>0</v>
      </c>
      <c r="AE238" s="101">
        <f t="shared" si="47"/>
        <v>0</v>
      </c>
      <c r="AF238" s="102">
        <f t="shared" si="50"/>
        <v>0</v>
      </c>
      <c r="AG238" s="50"/>
      <c r="AH238" s="51"/>
      <c r="AI238" s="137"/>
      <c r="AJ238" s="49"/>
      <c r="AK238" s="49"/>
      <c r="AL238" s="101">
        <f t="shared" si="51"/>
        <v>0</v>
      </c>
      <c r="AM238" s="49"/>
      <c r="AN238" s="101">
        <f t="shared" si="52"/>
        <v>0</v>
      </c>
      <c r="AO238" s="101">
        <f t="shared" si="53"/>
        <v>0</v>
      </c>
      <c r="AP238" s="101">
        <f t="shared" si="54"/>
        <v>0</v>
      </c>
      <c r="AQ238" s="49"/>
      <c r="AR238" s="49"/>
      <c r="AS238" s="49"/>
      <c r="AT238" s="55"/>
      <c r="AU238" s="53"/>
      <c r="AV238" s="56"/>
      <c r="AW238" s="54"/>
    </row>
    <row r="239" spans="1:49" s="32" customFormat="1" ht="15.75" x14ac:dyDescent="0.2">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c r="AA239" s="114">
        <f t="shared" si="48"/>
        <v>0</v>
      </c>
      <c r="AB239" s="101" t="str">
        <f>IFERROR(VLOOKUP(AA239,'Risk Matrices'!$A$35:$B$39,2,FALSE),"")</f>
        <v/>
      </c>
      <c r="AC239" s="49"/>
      <c r="AD239" s="101">
        <f t="shared" si="49"/>
        <v>0</v>
      </c>
      <c r="AE239" s="101">
        <f t="shared" si="47"/>
        <v>0</v>
      </c>
      <c r="AF239" s="102">
        <f t="shared" si="50"/>
        <v>0</v>
      </c>
      <c r="AG239" s="50"/>
      <c r="AH239" s="51"/>
      <c r="AI239" s="137"/>
      <c r="AJ239" s="49"/>
      <c r="AK239" s="49"/>
      <c r="AL239" s="101">
        <f t="shared" si="51"/>
        <v>0</v>
      </c>
      <c r="AM239" s="49"/>
      <c r="AN239" s="101">
        <f t="shared" si="52"/>
        <v>0</v>
      </c>
      <c r="AO239" s="101">
        <f t="shared" si="53"/>
        <v>0</v>
      </c>
      <c r="AP239" s="101">
        <f t="shared" si="54"/>
        <v>0</v>
      </c>
      <c r="AQ239" s="49"/>
      <c r="AR239" s="49"/>
      <c r="AS239" s="49"/>
      <c r="AT239" s="55"/>
      <c r="AU239" s="53"/>
      <c r="AV239" s="56"/>
      <c r="AW239" s="54"/>
    </row>
    <row r="240" spans="1:49" s="32" customFormat="1" ht="15.75" x14ac:dyDescent="0.2">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c r="AA240" s="114">
        <f t="shared" si="48"/>
        <v>0</v>
      </c>
      <c r="AB240" s="101" t="str">
        <f>IFERROR(VLOOKUP(AA240,'Risk Matrices'!$A$35:$B$39,2,FALSE),"")</f>
        <v/>
      </c>
      <c r="AC240" s="49"/>
      <c r="AD240" s="101">
        <f t="shared" si="49"/>
        <v>0</v>
      </c>
      <c r="AE240" s="101">
        <f t="shared" si="47"/>
        <v>0</v>
      </c>
      <c r="AF240" s="102">
        <f t="shared" si="50"/>
        <v>0</v>
      </c>
      <c r="AG240" s="50"/>
      <c r="AH240" s="51"/>
      <c r="AI240" s="137"/>
      <c r="AJ240" s="49"/>
      <c r="AK240" s="49"/>
      <c r="AL240" s="101">
        <f t="shared" si="51"/>
        <v>0</v>
      </c>
      <c r="AM240" s="49"/>
      <c r="AN240" s="101">
        <f t="shared" si="52"/>
        <v>0</v>
      </c>
      <c r="AO240" s="101">
        <f t="shared" si="53"/>
        <v>0</v>
      </c>
      <c r="AP240" s="101">
        <f t="shared" si="54"/>
        <v>0</v>
      </c>
      <c r="AQ240" s="49"/>
      <c r="AR240" s="49"/>
      <c r="AS240" s="49"/>
      <c r="AT240" s="55"/>
      <c r="AU240" s="53"/>
      <c r="AV240" s="56"/>
      <c r="AW240" s="54"/>
    </row>
    <row r="241" spans="1:49" s="32" customFormat="1" ht="15.75" x14ac:dyDescent="0.2">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c r="AA241" s="114">
        <f t="shared" si="48"/>
        <v>0</v>
      </c>
      <c r="AB241" s="101" t="str">
        <f>IFERROR(VLOOKUP(AA241,'Risk Matrices'!$A$35:$B$39,2,FALSE),"")</f>
        <v/>
      </c>
      <c r="AC241" s="49"/>
      <c r="AD241" s="101">
        <f t="shared" si="49"/>
        <v>0</v>
      </c>
      <c r="AE241" s="101">
        <f t="shared" si="47"/>
        <v>0</v>
      </c>
      <c r="AF241" s="102">
        <f t="shared" si="50"/>
        <v>0</v>
      </c>
      <c r="AG241" s="50"/>
      <c r="AH241" s="51"/>
      <c r="AI241" s="137"/>
      <c r="AJ241" s="49"/>
      <c r="AK241" s="49"/>
      <c r="AL241" s="101">
        <f t="shared" si="51"/>
        <v>0</v>
      </c>
      <c r="AM241" s="49"/>
      <c r="AN241" s="101">
        <f t="shared" si="52"/>
        <v>0</v>
      </c>
      <c r="AO241" s="101">
        <f t="shared" si="53"/>
        <v>0</v>
      </c>
      <c r="AP241" s="101">
        <f t="shared" si="54"/>
        <v>0</v>
      </c>
      <c r="AQ241" s="49"/>
      <c r="AR241" s="49"/>
      <c r="AS241" s="49"/>
      <c r="AT241" s="55"/>
      <c r="AU241" s="53"/>
      <c r="AV241" s="56"/>
      <c r="AW241" s="54"/>
    </row>
    <row r="242" spans="1:49" s="32" customFormat="1" ht="15.75" x14ac:dyDescent="0.2">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114">
        <f t="shared" si="48"/>
        <v>0</v>
      </c>
      <c r="AB242" s="101" t="str">
        <f>IFERROR(VLOOKUP(AA242,'Risk Matrices'!$A$35:$B$39,2,FALSE),"")</f>
        <v/>
      </c>
      <c r="AC242" s="49"/>
      <c r="AD242" s="101">
        <f t="shared" si="49"/>
        <v>0</v>
      </c>
      <c r="AE242" s="101">
        <f t="shared" si="47"/>
        <v>0</v>
      </c>
      <c r="AF242" s="102">
        <f t="shared" si="50"/>
        <v>0</v>
      </c>
      <c r="AG242" s="50"/>
      <c r="AH242" s="51"/>
      <c r="AI242" s="137"/>
      <c r="AJ242" s="49"/>
      <c r="AK242" s="49"/>
      <c r="AL242" s="101">
        <f t="shared" si="51"/>
        <v>0</v>
      </c>
      <c r="AM242" s="49"/>
      <c r="AN242" s="101">
        <f t="shared" si="52"/>
        <v>0</v>
      </c>
      <c r="AO242" s="101">
        <f t="shared" si="53"/>
        <v>0</v>
      </c>
      <c r="AP242" s="101">
        <f t="shared" si="54"/>
        <v>0</v>
      </c>
      <c r="AQ242" s="49"/>
      <c r="AR242" s="49"/>
      <c r="AS242" s="49"/>
      <c r="AT242" s="55"/>
      <c r="AU242" s="53"/>
      <c r="AV242" s="56"/>
      <c r="AW242" s="54"/>
    </row>
    <row r="243" spans="1:49" s="32" customFormat="1" ht="15.75" x14ac:dyDescent="0.2">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c r="AA243" s="114">
        <f t="shared" si="48"/>
        <v>0</v>
      </c>
      <c r="AB243" s="101" t="str">
        <f>IFERROR(VLOOKUP(AA243,'Risk Matrices'!$A$35:$B$39,2,FALSE),"")</f>
        <v/>
      </c>
      <c r="AC243" s="49"/>
      <c r="AD243" s="101">
        <f t="shared" si="49"/>
        <v>0</v>
      </c>
      <c r="AE243" s="101">
        <f t="shared" si="47"/>
        <v>0</v>
      </c>
      <c r="AF243" s="102">
        <f t="shared" si="50"/>
        <v>0</v>
      </c>
      <c r="AG243" s="50"/>
      <c r="AH243" s="51"/>
      <c r="AI243" s="137"/>
      <c r="AJ243" s="49"/>
      <c r="AK243" s="49"/>
      <c r="AL243" s="101">
        <f t="shared" si="51"/>
        <v>0</v>
      </c>
      <c r="AM243" s="49"/>
      <c r="AN243" s="101">
        <f t="shared" si="52"/>
        <v>0</v>
      </c>
      <c r="AO243" s="101">
        <f t="shared" si="53"/>
        <v>0</v>
      </c>
      <c r="AP243" s="101">
        <f t="shared" si="54"/>
        <v>0</v>
      </c>
      <c r="AQ243" s="49"/>
      <c r="AR243" s="49"/>
      <c r="AS243" s="49"/>
      <c r="AT243" s="55"/>
      <c r="AU243" s="53"/>
      <c r="AV243" s="56"/>
      <c r="AW243" s="54"/>
    </row>
    <row r="244" spans="1:49" s="32" customFormat="1" ht="15.75" x14ac:dyDescent="0.2">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c r="AA244" s="114">
        <f t="shared" si="48"/>
        <v>0</v>
      </c>
      <c r="AB244" s="101" t="str">
        <f>IFERROR(VLOOKUP(AA244,'Risk Matrices'!$A$35:$B$39,2,FALSE),"")</f>
        <v/>
      </c>
      <c r="AC244" s="49"/>
      <c r="AD244" s="101">
        <f t="shared" si="49"/>
        <v>0</v>
      </c>
      <c r="AE244" s="101">
        <f t="shared" si="47"/>
        <v>0</v>
      </c>
      <c r="AF244" s="102">
        <f t="shared" si="50"/>
        <v>0</v>
      </c>
      <c r="AG244" s="50"/>
      <c r="AH244" s="51"/>
      <c r="AI244" s="137"/>
      <c r="AJ244" s="49"/>
      <c r="AK244" s="49"/>
      <c r="AL244" s="101">
        <f t="shared" si="51"/>
        <v>0</v>
      </c>
      <c r="AM244" s="49"/>
      <c r="AN244" s="101">
        <f t="shared" si="52"/>
        <v>0</v>
      </c>
      <c r="AO244" s="101">
        <f t="shared" si="53"/>
        <v>0</v>
      </c>
      <c r="AP244" s="101">
        <f t="shared" si="54"/>
        <v>0</v>
      </c>
      <c r="AQ244" s="49"/>
      <c r="AR244" s="49"/>
      <c r="AS244" s="49"/>
      <c r="AT244" s="55"/>
      <c r="AU244" s="53"/>
      <c r="AV244" s="56"/>
      <c r="AW244" s="54"/>
    </row>
    <row r="245" spans="1:49" s="32" customFormat="1" ht="15.75" x14ac:dyDescent="0.2">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c r="AA245" s="114">
        <f t="shared" si="48"/>
        <v>0</v>
      </c>
      <c r="AB245" s="101" t="str">
        <f>IFERROR(VLOOKUP(AA245,'Risk Matrices'!$A$35:$B$39,2,FALSE),"")</f>
        <v/>
      </c>
      <c r="AC245" s="49"/>
      <c r="AD245" s="101">
        <f t="shared" si="49"/>
        <v>0</v>
      </c>
      <c r="AE245" s="101">
        <f t="shared" si="47"/>
        <v>0</v>
      </c>
      <c r="AF245" s="102">
        <f t="shared" si="50"/>
        <v>0</v>
      </c>
      <c r="AG245" s="50"/>
      <c r="AH245" s="51"/>
      <c r="AI245" s="137"/>
      <c r="AJ245" s="49"/>
      <c r="AK245" s="49"/>
      <c r="AL245" s="101">
        <f t="shared" si="51"/>
        <v>0</v>
      </c>
      <c r="AM245" s="49"/>
      <c r="AN245" s="101">
        <f t="shared" si="52"/>
        <v>0</v>
      </c>
      <c r="AO245" s="101">
        <f t="shared" si="53"/>
        <v>0</v>
      </c>
      <c r="AP245" s="101">
        <f t="shared" si="54"/>
        <v>0</v>
      </c>
      <c r="AQ245" s="49"/>
      <c r="AR245" s="49"/>
      <c r="AS245" s="49"/>
      <c r="AT245" s="55"/>
      <c r="AU245" s="53"/>
      <c r="AV245" s="56"/>
      <c r="AW245" s="54"/>
    </row>
    <row r="246" spans="1:49" s="32" customFormat="1" ht="15.75" x14ac:dyDescent="0.2">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c r="AA246" s="114">
        <f t="shared" si="48"/>
        <v>0</v>
      </c>
      <c r="AB246" s="101" t="str">
        <f>IFERROR(VLOOKUP(AA246,'Risk Matrices'!$A$35:$B$39,2,FALSE),"")</f>
        <v/>
      </c>
      <c r="AC246" s="49"/>
      <c r="AD246" s="101">
        <f t="shared" si="49"/>
        <v>0</v>
      </c>
      <c r="AE246" s="101">
        <f t="shared" si="47"/>
        <v>0</v>
      </c>
      <c r="AF246" s="102">
        <f t="shared" si="50"/>
        <v>0</v>
      </c>
      <c r="AG246" s="50"/>
      <c r="AH246" s="51"/>
      <c r="AI246" s="137"/>
      <c r="AJ246" s="49"/>
      <c r="AK246" s="49"/>
      <c r="AL246" s="101">
        <f t="shared" si="51"/>
        <v>0</v>
      </c>
      <c r="AM246" s="49"/>
      <c r="AN246" s="101">
        <f t="shared" si="52"/>
        <v>0</v>
      </c>
      <c r="AO246" s="101">
        <f t="shared" si="53"/>
        <v>0</v>
      </c>
      <c r="AP246" s="101">
        <f t="shared" si="54"/>
        <v>0</v>
      </c>
      <c r="AQ246" s="49"/>
      <c r="AR246" s="49"/>
      <c r="AS246" s="49"/>
      <c r="AT246" s="55"/>
      <c r="AU246" s="53"/>
      <c r="AV246" s="56"/>
      <c r="AW246" s="54"/>
    </row>
    <row r="247" spans="1:49" s="32" customFormat="1" ht="15.75" x14ac:dyDescent="0.2">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c r="AA247" s="114">
        <f t="shared" si="48"/>
        <v>0</v>
      </c>
      <c r="AB247" s="101" t="str">
        <f>IFERROR(VLOOKUP(AA247,'Risk Matrices'!$A$35:$B$39,2,FALSE),"")</f>
        <v/>
      </c>
      <c r="AC247" s="49"/>
      <c r="AD247" s="101">
        <f t="shared" si="49"/>
        <v>0</v>
      </c>
      <c r="AE247" s="101">
        <f t="shared" si="47"/>
        <v>0</v>
      </c>
      <c r="AF247" s="102">
        <f t="shared" si="50"/>
        <v>0</v>
      </c>
      <c r="AG247" s="50"/>
      <c r="AH247" s="51"/>
      <c r="AI247" s="137"/>
      <c r="AJ247" s="49"/>
      <c r="AK247" s="49"/>
      <c r="AL247" s="101">
        <f t="shared" si="51"/>
        <v>0</v>
      </c>
      <c r="AM247" s="49"/>
      <c r="AN247" s="101">
        <f t="shared" si="52"/>
        <v>0</v>
      </c>
      <c r="AO247" s="101">
        <f t="shared" si="53"/>
        <v>0</v>
      </c>
      <c r="AP247" s="101">
        <f t="shared" si="54"/>
        <v>0</v>
      </c>
      <c r="AQ247" s="49"/>
      <c r="AR247" s="49"/>
      <c r="AS247" s="49"/>
      <c r="AT247" s="55"/>
      <c r="AU247" s="53"/>
      <c r="AV247" s="56"/>
      <c r="AW247" s="54"/>
    </row>
    <row r="248" spans="1:49" s="32" customFormat="1" ht="15.75" x14ac:dyDescent="0.2">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c r="AA248" s="114">
        <f t="shared" si="48"/>
        <v>0</v>
      </c>
      <c r="AB248" s="101" t="str">
        <f>IFERROR(VLOOKUP(AA248,'Risk Matrices'!$A$35:$B$39,2,FALSE),"")</f>
        <v/>
      </c>
      <c r="AC248" s="49"/>
      <c r="AD248" s="101">
        <f t="shared" si="49"/>
        <v>0</v>
      </c>
      <c r="AE248" s="101">
        <f t="shared" si="47"/>
        <v>0</v>
      </c>
      <c r="AF248" s="102">
        <f t="shared" si="50"/>
        <v>0</v>
      </c>
      <c r="AG248" s="50"/>
      <c r="AH248" s="51"/>
      <c r="AI248" s="137"/>
      <c r="AJ248" s="49"/>
      <c r="AK248" s="49"/>
      <c r="AL248" s="101">
        <f t="shared" si="51"/>
        <v>0</v>
      </c>
      <c r="AM248" s="49"/>
      <c r="AN248" s="101">
        <f t="shared" si="52"/>
        <v>0</v>
      </c>
      <c r="AO248" s="101">
        <f t="shared" si="53"/>
        <v>0</v>
      </c>
      <c r="AP248" s="101">
        <f t="shared" si="54"/>
        <v>0</v>
      </c>
      <c r="AQ248" s="49"/>
      <c r="AR248" s="49"/>
      <c r="AS248" s="49"/>
      <c r="AT248" s="55"/>
      <c r="AU248" s="53"/>
      <c r="AV248" s="56"/>
      <c r="AW248" s="54"/>
    </row>
    <row r="249" spans="1:49" s="32" customFormat="1" ht="15.75" x14ac:dyDescent="0.2">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c r="AA249" s="114">
        <f t="shared" si="48"/>
        <v>0</v>
      </c>
      <c r="AB249" s="101" t="str">
        <f>IFERROR(VLOOKUP(AA249,'Risk Matrices'!$A$35:$B$39,2,FALSE),"")</f>
        <v/>
      </c>
      <c r="AC249" s="49"/>
      <c r="AD249" s="101">
        <f t="shared" si="49"/>
        <v>0</v>
      </c>
      <c r="AE249" s="101">
        <f t="shared" si="47"/>
        <v>0</v>
      </c>
      <c r="AF249" s="102">
        <f t="shared" si="50"/>
        <v>0</v>
      </c>
      <c r="AG249" s="50"/>
      <c r="AH249" s="51"/>
      <c r="AI249" s="137"/>
      <c r="AJ249" s="49"/>
      <c r="AK249" s="49"/>
      <c r="AL249" s="101">
        <f t="shared" si="51"/>
        <v>0</v>
      </c>
      <c r="AM249" s="49"/>
      <c r="AN249" s="101">
        <f t="shared" si="52"/>
        <v>0</v>
      </c>
      <c r="AO249" s="101">
        <f t="shared" si="53"/>
        <v>0</v>
      </c>
      <c r="AP249" s="101">
        <f t="shared" si="54"/>
        <v>0</v>
      </c>
      <c r="AQ249" s="49"/>
      <c r="AR249" s="49"/>
      <c r="AS249" s="49"/>
      <c r="AT249" s="55"/>
      <c r="AU249" s="53"/>
      <c r="AV249" s="56"/>
      <c r="AW249" s="54"/>
    </row>
    <row r="250" spans="1:49" s="32" customFormat="1" ht="15.75" x14ac:dyDescent="0.2">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c r="AA250" s="114">
        <f t="shared" si="48"/>
        <v>0</v>
      </c>
      <c r="AB250" s="101" t="str">
        <f>IFERROR(VLOOKUP(AA250,'Risk Matrices'!$A$35:$B$39,2,FALSE),"")</f>
        <v/>
      </c>
      <c r="AC250" s="49"/>
      <c r="AD250" s="101">
        <f t="shared" si="49"/>
        <v>0</v>
      </c>
      <c r="AE250" s="101">
        <f t="shared" si="47"/>
        <v>0</v>
      </c>
      <c r="AF250" s="102">
        <f t="shared" si="50"/>
        <v>0</v>
      </c>
      <c r="AG250" s="50"/>
      <c r="AH250" s="51"/>
      <c r="AI250" s="137"/>
      <c r="AJ250" s="49"/>
      <c r="AK250" s="49"/>
      <c r="AL250" s="101">
        <f t="shared" si="51"/>
        <v>0</v>
      </c>
      <c r="AM250" s="49"/>
      <c r="AN250" s="101">
        <f t="shared" si="52"/>
        <v>0</v>
      </c>
      <c r="AO250" s="101">
        <f t="shared" si="53"/>
        <v>0</v>
      </c>
      <c r="AP250" s="101">
        <f t="shared" si="54"/>
        <v>0</v>
      </c>
      <c r="AQ250" s="49"/>
      <c r="AR250" s="49"/>
      <c r="AS250" s="49"/>
      <c r="AT250" s="55"/>
      <c r="AU250" s="53"/>
      <c r="AV250" s="56"/>
      <c r="AW250" s="54"/>
    </row>
    <row r="251" spans="1:49" s="32" customFormat="1" ht="15.75" x14ac:dyDescent="0.2">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c r="AA251" s="114">
        <f t="shared" si="48"/>
        <v>0</v>
      </c>
      <c r="AB251" s="101" t="str">
        <f>IFERROR(VLOOKUP(AA251,'Risk Matrices'!$A$35:$B$39,2,FALSE),"")</f>
        <v/>
      </c>
      <c r="AC251" s="49"/>
      <c r="AD251" s="101">
        <f t="shared" si="49"/>
        <v>0</v>
      </c>
      <c r="AE251" s="101">
        <f t="shared" si="47"/>
        <v>0</v>
      </c>
      <c r="AF251" s="102">
        <f t="shared" si="50"/>
        <v>0</v>
      </c>
      <c r="AG251" s="50"/>
      <c r="AH251" s="51"/>
      <c r="AI251" s="137"/>
      <c r="AJ251" s="49"/>
      <c r="AK251" s="49"/>
      <c r="AL251" s="101">
        <f t="shared" si="51"/>
        <v>0</v>
      </c>
      <c r="AM251" s="49"/>
      <c r="AN251" s="101">
        <f t="shared" si="52"/>
        <v>0</v>
      </c>
      <c r="AO251" s="101">
        <f t="shared" si="53"/>
        <v>0</v>
      </c>
      <c r="AP251" s="101">
        <f t="shared" si="54"/>
        <v>0</v>
      </c>
      <c r="AQ251" s="49"/>
      <c r="AR251" s="49"/>
      <c r="AS251" s="49"/>
      <c r="AT251" s="55"/>
      <c r="AU251" s="53"/>
      <c r="AV251" s="56"/>
      <c r="AW251" s="54"/>
    </row>
    <row r="252" spans="1:49" s="32" customFormat="1" ht="15.75" x14ac:dyDescent="0.2">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c r="AA252" s="114">
        <f t="shared" si="48"/>
        <v>0</v>
      </c>
      <c r="AB252" s="101" t="str">
        <f>IFERROR(VLOOKUP(AA252,'Risk Matrices'!$A$35:$B$39,2,FALSE),"")</f>
        <v/>
      </c>
      <c r="AC252" s="49"/>
      <c r="AD252" s="101">
        <f t="shared" si="49"/>
        <v>0</v>
      </c>
      <c r="AE252" s="101">
        <f t="shared" si="47"/>
        <v>0</v>
      </c>
      <c r="AF252" s="102">
        <f t="shared" si="50"/>
        <v>0</v>
      </c>
      <c r="AG252" s="50"/>
      <c r="AH252" s="51"/>
      <c r="AI252" s="137"/>
      <c r="AJ252" s="49"/>
      <c r="AK252" s="49"/>
      <c r="AL252" s="101">
        <f t="shared" si="51"/>
        <v>0</v>
      </c>
      <c r="AM252" s="49"/>
      <c r="AN252" s="101">
        <f t="shared" si="52"/>
        <v>0</v>
      </c>
      <c r="AO252" s="101">
        <f t="shared" si="53"/>
        <v>0</v>
      </c>
      <c r="AP252" s="101">
        <f t="shared" si="54"/>
        <v>0</v>
      </c>
      <c r="AQ252" s="49"/>
      <c r="AR252" s="49"/>
      <c r="AS252" s="49"/>
      <c r="AT252" s="55"/>
      <c r="AU252" s="53"/>
      <c r="AV252" s="56"/>
      <c r="AW252" s="54"/>
    </row>
    <row r="253" spans="1:49" s="32" customFormat="1" ht="15.75" x14ac:dyDescent="0.2">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c r="AA253" s="114">
        <f t="shared" si="48"/>
        <v>0</v>
      </c>
      <c r="AB253" s="101" t="str">
        <f>IFERROR(VLOOKUP(AA253,'Risk Matrices'!$A$35:$B$39,2,FALSE),"")</f>
        <v/>
      </c>
      <c r="AC253" s="49"/>
      <c r="AD253" s="101">
        <f t="shared" si="49"/>
        <v>0</v>
      </c>
      <c r="AE253" s="101">
        <f t="shared" si="47"/>
        <v>0</v>
      </c>
      <c r="AF253" s="102">
        <f t="shared" si="50"/>
        <v>0</v>
      </c>
      <c r="AG253" s="50"/>
      <c r="AH253" s="51"/>
      <c r="AI253" s="137"/>
      <c r="AJ253" s="49"/>
      <c r="AK253" s="49"/>
      <c r="AL253" s="101">
        <f t="shared" si="51"/>
        <v>0</v>
      </c>
      <c r="AM253" s="49"/>
      <c r="AN253" s="101">
        <f t="shared" si="52"/>
        <v>0</v>
      </c>
      <c r="AO253" s="101">
        <f t="shared" si="53"/>
        <v>0</v>
      </c>
      <c r="AP253" s="101">
        <f t="shared" si="54"/>
        <v>0</v>
      </c>
      <c r="AQ253" s="49"/>
      <c r="AR253" s="49"/>
      <c r="AS253" s="49"/>
      <c r="AT253" s="55"/>
      <c r="AU253" s="53"/>
      <c r="AV253" s="56"/>
      <c r="AW253" s="54"/>
    </row>
    <row r="254" spans="1:49" s="32" customFormat="1" ht="15.75" x14ac:dyDescent="0.2">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c r="AA254" s="114">
        <f t="shared" si="48"/>
        <v>0</v>
      </c>
      <c r="AB254" s="101" t="str">
        <f>IFERROR(VLOOKUP(AA254,'Risk Matrices'!$A$35:$B$39,2,FALSE),"")</f>
        <v/>
      </c>
      <c r="AC254" s="49"/>
      <c r="AD254" s="101">
        <f t="shared" si="49"/>
        <v>0</v>
      </c>
      <c r="AE254" s="101">
        <f t="shared" si="47"/>
        <v>0</v>
      </c>
      <c r="AF254" s="102">
        <f t="shared" si="50"/>
        <v>0</v>
      </c>
      <c r="AG254" s="50"/>
      <c r="AH254" s="51"/>
      <c r="AI254" s="137"/>
      <c r="AJ254" s="49"/>
      <c r="AK254" s="49"/>
      <c r="AL254" s="101">
        <f t="shared" si="51"/>
        <v>0</v>
      </c>
      <c r="AM254" s="49"/>
      <c r="AN254" s="101">
        <f t="shared" si="52"/>
        <v>0</v>
      </c>
      <c r="AO254" s="101">
        <f t="shared" si="53"/>
        <v>0</v>
      </c>
      <c r="AP254" s="101">
        <f t="shared" si="54"/>
        <v>0</v>
      </c>
      <c r="AQ254" s="49"/>
      <c r="AR254" s="49"/>
      <c r="AS254" s="49"/>
      <c r="AT254" s="55"/>
      <c r="AU254" s="53"/>
      <c r="AV254" s="56"/>
      <c r="AW254" s="54"/>
    </row>
    <row r="255" spans="1:49" s="32" customFormat="1" ht="15.75" x14ac:dyDescent="0.2">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c r="AA255" s="114">
        <f t="shared" si="48"/>
        <v>0</v>
      </c>
      <c r="AB255" s="101" t="str">
        <f>IFERROR(VLOOKUP(AA255,'Risk Matrices'!$A$35:$B$39,2,FALSE),"")</f>
        <v/>
      </c>
      <c r="AC255" s="49"/>
      <c r="AD255" s="101">
        <f t="shared" si="49"/>
        <v>0</v>
      </c>
      <c r="AE255" s="101">
        <f t="shared" si="47"/>
        <v>0</v>
      </c>
      <c r="AF255" s="102">
        <f t="shared" si="50"/>
        <v>0</v>
      </c>
      <c r="AG255" s="50"/>
      <c r="AH255" s="51"/>
      <c r="AI255" s="137"/>
      <c r="AJ255" s="49"/>
      <c r="AK255" s="49"/>
      <c r="AL255" s="101">
        <f t="shared" si="51"/>
        <v>0</v>
      </c>
      <c r="AM255" s="49"/>
      <c r="AN255" s="101">
        <f t="shared" si="52"/>
        <v>0</v>
      </c>
      <c r="AO255" s="101">
        <f t="shared" si="53"/>
        <v>0</v>
      </c>
      <c r="AP255" s="101">
        <f t="shared" si="54"/>
        <v>0</v>
      </c>
      <c r="AQ255" s="49"/>
      <c r="AR255" s="49"/>
      <c r="AS255" s="49"/>
      <c r="AT255" s="55"/>
      <c r="AU255" s="53"/>
      <c r="AV255" s="56"/>
      <c r="AW255" s="54"/>
    </row>
    <row r="256" spans="1:49" s="32" customFormat="1" ht="15.75" x14ac:dyDescent="0.2">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c r="AA256" s="114">
        <f t="shared" si="48"/>
        <v>0</v>
      </c>
      <c r="AB256" s="101" t="str">
        <f>IFERROR(VLOOKUP(AA256,'Risk Matrices'!$A$35:$B$39,2,FALSE),"")</f>
        <v/>
      </c>
      <c r="AC256" s="49"/>
      <c r="AD256" s="101">
        <f t="shared" si="49"/>
        <v>0</v>
      </c>
      <c r="AE256" s="101">
        <f t="shared" si="47"/>
        <v>0</v>
      </c>
      <c r="AF256" s="102">
        <f t="shared" si="50"/>
        <v>0</v>
      </c>
      <c r="AG256" s="50"/>
      <c r="AH256" s="51"/>
      <c r="AI256" s="137"/>
      <c r="AJ256" s="49"/>
      <c r="AK256" s="49"/>
      <c r="AL256" s="101">
        <f t="shared" si="51"/>
        <v>0</v>
      </c>
      <c r="AM256" s="49"/>
      <c r="AN256" s="101">
        <f t="shared" si="52"/>
        <v>0</v>
      </c>
      <c r="AO256" s="101">
        <f t="shared" si="53"/>
        <v>0</v>
      </c>
      <c r="AP256" s="101">
        <f t="shared" si="54"/>
        <v>0</v>
      </c>
      <c r="AQ256" s="49"/>
      <c r="AR256" s="49"/>
      <c r="AS256" s="49"/>
      <c r="AT256" s="55"/>
      <c r="AU256" s="53"/>
      <c r="AV256" s="56"/>
      <c r="AW256" s="54"/>
    </row>
    <row r="257" spans="1:49" s="32" customFormat="1" ht="15.75" x14ac:dyDescent="0.2">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c r="AA257" s="114">
        <f t="shared" si="48"/>
        <v>0</v>
      </c>
      <c r="AB257" s="101" t="str">
        <f>IFERROR(VLOOKUP(AA257,'Risk Matrices'!$A$35:$B$39,2,FALSE),"")</f>
        <v/>
      </c>
      <c r="AC257" s="49"/>
      <c r="AD257" s="101">
        <f t="shared" si="49"/>
        <v>0</v>
      </c>
      <c r="AE257" s="101">
        <f t="shared" si="47"/>
        <v>0</v>
      </c>
      <c r="AF257" s="102">
        <f t="shared" si="50"/>
        <v>0</v>
      </c>
      <c r="AG257" s="50"/>
      <c r="AH257" s="51"/>
      <c r="AI257" s="137"/>
      <c r="AJ257" s="49"/>
      <c r="AK257" s="49"/>
      <c r="AL257" s="101">
        <f t="shared" si="51"/>
        <v>0</v>
      </c>
      <c r="AM257" s="49"/>
      <c r="AN257" s="101">
        <f t="shared" si="52"/>
        <v>0</v>
      </c>
      <c r="AO257" s="101">
        <f t="shared" si="53"/>
        <v>0</v>
      </c>
      <c r="AP257" s="101">
        <f t="shared" si="54"/>
        <v>0</v>
      </c>
      <c r="AQ257" s="49"/>
      <c r="AR257" s="49"/>
      <c r="AS257" s="49"/>
      <c r="AT257" s="55"/>
      <c r="AU257" s="53"/>
      <c r="AV257" s="56"/>
      <c r="AW257" s="54"/>
    </row>
    <row r="258" spans="1:49" s="32" customFormat="1" ht="15.75" x14ac:dyDescent="0.2">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c r="AA258" s="114">
        <f t="shared" si="48"/>
        <v>0</v>
      </c>
      <c r="AB258" s="101" t="str">
        <f>IFERROR(VLOOKUP(AA258,'Risk Matrices'!$A$35:$B$39,2,FALSE),"")</f>
        <v/>
      </c>
      <c r="AC258" s="49"/>
      <c r="AD258" s="101">
        <f t="shared" si="49"/>
        <v>0</v>
      </c>
      <c r="AE258" s="101">
        <f t="shared" si="47"/>
        <v>0</v>
      </c>
      <c r="AF258" s="102">
        <f t="shared" si="50"/>
        <v>0</v>
      </c>
      <c r="AG258" s="50"/>
      <c r="AH258" s="51"/>
      <c r="AI258" s="137"/>
      <c r="AJ258" s="49"/>
      <c r="AK258" s="49"/>
      <c r="AL258" s="101">
        <f t="shared" si="51"/>
        <v>0</v>
      </c>
      <c r="AM258" s="49"/>
      <c r="AN258" s="101">
        <f t="shared" si="52"/>
        <v>0</v>
      </c>
      <c r="AO258" s="101">
        <f t="shared" si="53"/>
        <v>0</v>
      </c>
      <c r="AP258" s="101">
        <f t="shared" si="54"/>
        <v>0</v>
      </c>
      <c r="AQ258" s="49"/>
      <c r="AR258" s="49"/>
      <c r="AS258" s="49"/>
      <c r="AT258" s="55"/>
      <c r="AU258" s="53"/>
      <c r="AV258" s="56"/>
      <c r="AW258" s="54"/>
    </row>
    <row r="259" spans="1:49" s="32" customFormat="1" ht="15.75" x14ac:dyDescent="0.2">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c r="AA259" s="114">
        <f t="shared" si="48"/>
        <v>0</v>
      </c>
      <c r="AB259" s="101" t="str">
        <f>IFERROR(VLOOKUP(AA259,'Risk Matrices'!$A$35:$B$39,2,FALSE),"")</f>
        <v/>
      </c>
      <c r="AC259" s="49"/>
      <c r="AD259" s="101">
        <f t="shared" si="49"/>
        <v>0</v>
      </c>
      <c r="AE259" s="101">
        <f t="shared" si="47"/>
        <v>0</v>
      </c>
      <c r="AF259" s="102">
        <f t="shared" si="50"/>
        <v>0</v>
      </c>
      <c r="AG259" s="50"/>
      <c r="AH259" s="51"/>
      <c r="AI259" s="137"/>
      <c r="AJ259" s="49"/>
      <c r="AK259" s="49"/>
      <c r="AL259" s="101">
        <f t="shared" si="51"/>
        <v>0</v>
      </c>
      <c r="AM259" s="49"/>
      <c r="AN259" s="101">
        <f t="shared" si="52"/>
        <v>0</v>
      </c>
      <c r="AO259" s="101">
        <f t="shared" si="53"/>
        <v>0</v>
      </c>
      <c r="AP259" s="101">
        <f t="shared" si="54"/>
        <v>0</v>
      </c>
      <c r="AQ259" s="49"/>
      <c r="AR259" s="49"/>
      <c r="AS259" s="49"/>
      <c r="AT259" s="55"/>
      <c r="AU259" s="53"/>
      <c r="AV259" s="56"/>
      <c r="AW259" s="54"/>
    </row>
    <row r="260" spans="1:49" s="32" customFormat="1" ht="15.75" x14ac:dyDescent="0.2">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c r="AA260" s="114">
        <f t="shared" si="48"/>
        <v>0</v>
      </c>
      <c r="AB260" s="101" t="str">
        <f>IFERROR(VLOOKUP(AA260,'Risk Matrices'!$A$35:$B$39,2,FALSE),"")</f>
        <v/>
      </c>
      <c r="AC260" s="49"/>
      <c r="AD260" s="101">
        <f t="shared" si="49"/>
        <v>0</v>
      </c>
      <c r="AE260" s="101">
        <f t="shared" ref="AE260:AE275" si="55">AA260*AC260</f>
        <v>0</v>
      </c>
      <c r="AF260" s="102">
        <f t="shared" si="50"/>
        <v>0</v>
      </c>
      <c r="AG260" s="50"/>
      <c r="AH260" s="51"/>
      <c r="AI260" s="137"/>
      <c r="AJ260" s="49"/>
      <c r="AK260" s="49"/>
      <c r="AL260" s="101">
        <f t="shared" si="51"/>
        <v>0</v>
      </c>
      <c r="AM260" s="49"/>
      <c r="AN260" s="101">
        <f t="shared" si="52"/>
        <v>0</v>
      </c>
      <c r="AO260" s="101">
        <f t="shared" si="53"/>
        <v>0</v>
      </c>
      <c r="AP260" s="101">
        <f t="shared" si="54"/>
        <v>0</v>
      </c>
      <c r="AQ260" s="49"/>
      <c r="AR260" s="49"/>
      <c r="AS260" s="49"/>
      <c r="AT260" s="55"/>
      <c r="AU260" s="53"/>
      <c r="AV260" s="56"/>
      <c r="AW260" s="54"/>
    </row>
    <row r="261" spans="1:49" s="32" customFormat="1" ht="15.75" x14ac:dyDescent="0.2">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c r="AA261" s="114">
        <f t="shared" si="48"/>
        <v>0</v>
      </c>
      <c r="AB261" s="101" t="str">
        <f>IFERROR(VLOOKUP(AA261,'Risk Matrices'!$A$35:$B$39,2,FALSE),"")</f>
        <v/>
      </c>
      <c r="AC261" s="49"/>
      <c r="AD261" s="101">
        <f t="shared" si="49"/>
        <v>0</v>
      </c>
      <c r="AE261" s="101">
        <f t="shared" si="55"/>
        <v>0</v>
      </c>
      <c r="AF261" s="102">
        <f t="shared" si="50"/>
        <v>0</v>
      </c>
      <c r="AG261" s="50"/>
      <c r="AH261" s="51"/>
      <c r="AI261" s="137"/>
      <c r="AJ261" s="49"/>
      <c r="AK261" s="49"/>
      <c r="AL261" s="101">
        <f t="shared" si="51"/>
        <v>0</v>
      </c>
      <c r="AM261" s="49"/>
      <c r="AN261" s="101">
        <f t="shared" si="52"/>
        <v>0</v>
      </c>
      <c r="AO261" s="101">
        <f t="shared" si="53"/>
        <v>0</v>
      </c>
      <c r="AP261" s="101">
        <f t="shared" si="54"/>
        <v>0</v>
      </c>
      <c r="AQ261" s="49"/>
      <c r="AR261" s="49"/>
      <c r="AS261" s="49"/>
      <c r="AT261" s="55"/>
      <c r="AU261" s="53"/>
      <c r="AV261" s="56"/>
      <c r="AW261" s="54"/>
    </row>
    <row r="262" spans="1:49" s="32" customFormat="1" ht="15.75" x14ac:dyDescent="0.2">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c r="AA262" s="114">
        <f t="shared" si="48"/>
        <v>0</v>
      </c>
      <c r="AB262" s="101" t="str">
        <f>IFERROR(VLOOKUP(AA262,'Risk Matrices'!$A$35:$B$39,2,FALSE),"")</f>
        <v/>
      </c>
      <c r="AC262" s="49"/>
      <c r="AD262" s="101">
        <f t="shared" si="49"/>
        <v>0</v>
      </c>
      <c r="AE262" s="101">
        <f t="shared" si="55"/>
        <v>0</v>
      </c>
      <c r="AF262" s="102">
        <f t="shared" si="50"/>
        <v>0</v>
      </c>
      <c r="AG262" s="50"/>
      <c r="AH262" s="51"/>
      <c r="AI262" s="137"/>
      <c r="AJ262" s="49"/>
      <c r="AK262" s="49"/>
      <c r="AL262" s="101">
        <f t="shared" si="51"/>
        <v>0</v>
      </c>
      <c r="AM262" s="49"/>
      <c r="AN262" s="101">
        <f t="shared" si="52"/>
        <v>0</v>
      </c>
      <c r="AO262" s="101">
        <f t="shared" si="53"/>
        <v>0</v>
      </c>
      <c r="AP262" s="101">
        <f t="shared" si="54"/>
        <v>0</v>
      </c>
      <c r="AQ262" s="49"/>
      <c r="AR262" s="49"/>
      <c r="AS262" s="49"/>
      <c r="AT262" s="55"/>
      <c r="AU262" s="53"/>
      <c r="AV262" s="56"/>
      <c r="AW262" s="54"/>
    </row>
    <row r="263" spans="1:49" s="32" customFormat="1" ht="15.75" x14ac:dyDescent="0.2">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c r="AA263" s="114">
        <f t="shared" si="48"/>
        <v>0</v>
      </c>
      <c r="AB263" s="101" t="str">
        <f>IFERROR(VLOOKUP(AA263,'Risk Matrices'!$A$35:$B$39,2,FALSE),"")</f>
        <v/>
      </c>
      <c r="AC263" s="49"/>
      <c r="AD263" s="101">
        <f t="shared" si="49"/>
        <v>0</v>
      </c>
      <c r="AE263" s="101">
        <f t="shared" si="55"/>
        <v>0</v>
      </c>
      <c r="AF263" s="102">
        <f t="shared" si="50"/>
        <v>0</v>
      </c>
      <c r="AG263" s="50"/>
      <c r="AH263" s="51"/>
      <c r="AI263" s="137"/>
      <c r="AJ263" s="49"/>
      <c r="AK263" s="49"/>
      <c r="AL263" s="101">
        <f t="shared" si="51"/>
        <v>0</v>
      </c>
      <c r="AM263" s="49"/>
      <c r="AN263" s="101">
        <f t="shared" si="52"/>
        <v>0</v>
      </c>
      <c r="AO263" s="101">
        <f t="shared" si="53"/>
        <v>0</v>
      </c>
      <c r="AP263" s="101">
        <f t="shared" si="54"/>
        <v>0</v>
      </c>
      <c r="AQ263" s="49"/>
      <c r="AR263" s="49"/>
      <c r="AS263" s="49"/>
      <c r="AT263" s="55"/>
      <c r="AU263" s="53"/>
      <c r="AV263" s="56"/>
      <c r="AW263" s="54"/>
    </row>
    <row r="264" spans="1:49" s="32" customFormat="1" ht="15.75" x14ac:dyDescent="0.2">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c r="AA264" s="114">
        <f t="shared" si="48"/>
        <v>0</v>
      </c>
      <c r="AB264" s="101" t="str">
        <f>IFERROR(VLOOKUP(AA264,'Risk Matrices'!$A$35:$B$39,2,FALSE),"")</f>
        <v/>
      </c>
      <c r="AC264" s="49"/>
      <c r="AD264" s="101">
        <f t="shared" si="49"/>
        <v>0</v>
      </c>
      <c r="AE264" s="101">
        <f t="shared" si="55"/>
        <v>0</v>
      </c>
      <c r="AF264" s="102">
        <f t="shared" si="50"/>
        <v>0</v>
      </c>
      <c r="AG264" s="50"/>
      <c r="AH264" s="51"/>
      <c r="AI264" s="137"/>
      <c r="AJ264" s="49"/>
      <c r="AK264" s="49"/>
      <c r="AL264" s="101">
        <f t="shared" si="51"/>
        <v>0</v>
      </c>
      <c r="AM264" s="49"/>
      <c r="AN264" s="101">
        <f t="shared" si="52"/>
        <v>0</v>
      </c>
      <c r="AO264" s="101">
        <f t="shared" si="53"/>
        <v>0</v>
      </c>
      <c r="AP264" s="101">
        <f t="shared" si="54"/>
        <v>0</v>
      </c>
      <c r="AQ264" s="49"/>
      <c r="AR264" s="49"/>
      <c r="AS264" s="49"/>
      <c r="AT264" s="55"/>
      <c r="AU264" s="53"/>
      <c r="AV264" s="56"/>
      <c r="AW264" s="54"/>
    </row>
    <row r="265" spans="1:49" s="32" customFormat="1" ht="15.75" x14ac:dyDescent="0.2">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c r="AA265" s="114">
        <f t="shared" si="48"/>
        <v>0</v>
      </c>
      <c r="AB265" s="101" t="str">
        <f>IFERROR(VLOOKUP(AA265,'Risk Matrices'!$A$35:$B$39,2,FALSE),"")</f>
        <v/>
      </c>
      <c r="AC265" s="49"/>
      <c r="AD265" s="101">
        <f t="shared" si="49"/>
        <v>0</v>
      </c>
      <c r="AE265" s="101">
        <f t="shared" si="55"/>
        <v>0</v>
      </c>
      <c r="AF265" s="102">
        <f t="shared" si="50"/>
        <v>0</v>
      </c>
      <c r="AG265" s="50"/>
      <c r="AH265" s="51"/>
      <c r="AI265" s="137"/>
      <c r="AJ265" s="49"/>
      <c r="AK265" s="49"/>
      <c r="AL265" s="101">
        <f t="shared" si="51"/>
        <v>0</v>
      </c>
      <c r="AM265" s="49"/>
      <c r="AN265" s="101">
        <f t="shared" si="52"/>
        <v>0</v>
      </c>
      <c r="AO265" s="101">
        <f t="shared" si="53"/>
        <v>0</v>
      </c>
      <c r="AP265" s="101">
        <f t="shared" si="54"/>
        <v>0</v>
      </c>
      <c r="AQ265" s="49"/>
      <c r="AR265" s="49"/>
      <c r="AS265" s="49"/>
      <c r="AT265" s="55"/>
      <c r="AU265" s="53"/>
      <c r="AV265" s="56"/>
      <c r="AW265" s="54"/>
    </row>
    <row r="266" spans="1:49" s="32" customFormat="1" ht="15.75" x14ac:dyDescent="0.2">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c r="AA266" s="114">
        <f t="shared" si="48"/>
        <v>0</v>
      </c>
      <c r="AB266" s="101" t="str">
        <f>IFERROR(VLOOKUP(AA266,'Risk Matrices'!$A$35:$B$39,2,FALSE),"")</f>
        <v/>
      </c>
      <c r="AC266" s="49"/>
      <c r="AD266" s="101">
        <f t="shared" si="49"/>
        <v>0</v>
      </c>
      <c r="AE266" s="101">
        <f t="shared" si="55"/>
        <v>0</v>
      </c>
      <c r="AF266" s="102">
        <f t="shared" si="50"/>
        <v>0</v>
      </c>
      <c r="AG266" s="50"/>
      <c r="AH266" s="51"/>
      <c r="AI266" s="137"/>
      <c r="AJ266" s="49"/>
      <c r="AK266" s="49"/>
      <c r="AL266" s="101">
        <f t="shared" si="51"/>
        <v>0</v>
      </c>
      <c r="AM266" s="49"/>
      <c r="AN266" s="101">
        <f t="shared" si="52"/>
        <v>0</v>
      </c>
      <c r="AO266" s="101">
        <f t="shared" si="53"/>
        <v>0</v>
      </c>
      <c r="AP266" s="101">
        <f t="shared" si="54"/>
        <v>0</v>
      </c>
      <c r="AQ266" s="49"/>
      <c r="AR266" s="49"/>
      <c r="AS266" s="49"/>
      <c r="AT266" s="55"/>
      <c r="AU266" s="53"/>
      <c r="AV266" s="56"/>
      <c r="AW266" s="54"/>
    </row>
    <row r="267" spans="1:49" s="32" customFormat="1" ht="15.75" x14ac:dyDescent="0.2">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c r="AA267" s="114">
        <f t="shared" si="48"/>
        <v>0</v>
      </c>
      <c r="AB267" s="101" t="str">
        <f>IFERROR(VLOOKUP(AA267,'Risk Matrices'!$A$35:$B$39,2,FALSE),"")</f>
        <v/>
      </c>
      <c r="AC267" s="49"/>
      <c r="AD267" s="101">
        <f t="shared" si="49"/>
        <v>0</v>
      </c>
      <c r="AE267" s="101">
        <f t="shared" si="55"/>
        <v>0</v>
      </c>
      <c r="AF267" s="102">
        <f t="shared" si="50"/>
        <v>0</v>
      </c>
      <c r="AG267" s="50"/>
      <c r="AH267" s="51"/>
      <c r="AI267" s="137"/>
      <c r="AJ267" s="49"/>
      <c r="AK267" s="49"/>
      <c r="AL267" s="101">
        <f t="shared" si="51"/>
        <v>0</v>
      </c>
      <c r="AM267" s="49"/>
      <c r="AN267" s="101">
        <f t="shared" si="52"/>
        <v>0</v>
      </c>
      <c r="AO267" s="101">
        <f t="shared" si="53"/>
        <v>0</v>
      </c>
      <c r="AP267" s="101">
        <f t="shared" si="54"/>
        <v>0</v>
      </c>
      <c r="AQ267" s="49"/>
      <c r="AR267" s="49"/>
      <c r="AS267" s="49"/>
      <c r="AT267" s="55"/>
      <c r="AU267" s="53"/>
      <c r="AV267" s="56"/>
      <c r="AW267" s="54"/>
    </row>
    <row r="268" spans="1:49" s="32" customFormat="1" ht="15.75" x14ac:dyDescent="0.2">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c r="AA268" s="114">
        <f t="shared" si="48"/>
        <v>0</v>
      </c>
      <c r="AB268" s="101" t="str">
        <f>IFERROR(VLOOKUP(AA268,'Risk Matrices'!$A$35:$B$39,2,FALSE),"")</f>
        <v/>
      </c>
      <c r="AC268" s="49"/>
      <c r="AD268" s="101">
        <f t="shared" si="49"/>
        <v>0</v>
      </c>
      <c r="AE268" s="101">
        <f t="shared" si="55"/>
        <v>0</v>
      </c>
      <c r="AF268" s="102">
        <f t="shared" si="50"/>
        <v>0</v>
      </c>
      <c r="AG268" s="50"/>
      <c r="AH268" s="51"/>
      <c r="AI268" s="137"/>
      <c r="AJ268" s="49"/>
      <c r="AK268" s="49"/>
      <c r="AL268" s="101">
        <f t="shared" si="51"/>
        <v>0</v>
      </c>
      <c r="AM268" s="49"/>
      <c r="AN268" s="101">
        <f t="shared" si="52"/>
        <v>0</v>
      </c>
      <c r="AO268" s="101">
        <f t="shared" si="53"/>
        <v>0</v>
      </c>
      <c r="AP268" s="101">
        <f t="shared" si="54"/>
        <v>0</v>
      </c>
      <c r="AQ268" s="49"/>
      <c r="AR268" s="49"/>
      <c r="AS268" s="49"/>
      <c r="AT268" s="55"/>
      <c r="AU268" s="53"/>
      <c r="AV268" s="56"/>
      <c r="AW268" s="54"/>
    </row>
    <row r="269" spans="1:49" s="32" customFormat="1" ht="15.75" x14ac:dyDescent="0.2">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c r="AA269" s="114">
        <f t="shared" si="48"/>
        <v>0</v>
      </c>
      <c r="AB269" s="101" t="str">
        <f>IFERROR(VLOOKUP(AA269,'Risk Matrices'!$A$35:$B$39,2,FALSE),"")</f>
        <v/>
      </c>
      <c r="AC269" s="49"/>
      <c r="AD269" s="101">
        <f t="shared" si="49"/>
        <v>0</v>
      </c>
      <c r="AE269" s="101">
        <f t="shared" si="55"/>
        <v>0</v>
      </c>
      <c r="AF269" s="102">
        <f t="shared" si="50"/>
        <v>0</v>
      </c>
      <c r="AG269" s="50"/>
      <c r="AH269" s="51"/>
      <c r="AI269" s="137"/>
      <c r="AJ269" s="49"/>
      <c r="AK269" s="49"/>
      <c r="AL269" s="101">
        <f t="shared" si="51"/>
        <v>0</v>
      </c>
      <c r="AM269" s="49"/>
      <c r="AN269" s="101">
        <f t="shared" si="52"/>
        <v>0</v>
      </c>
      <c r="AO269" s="101">
        <f t="shared" si="53"/>
        <v>0</v>
      </c>
      <c r="AP269" s="101">
        <f t="shared" si="54"/>
        <v>0</v>
      </c>
      <c r="AQ269" s="49"/>
      <c r="AR269" s="49"/>
      <c r="AS269" s="49"/>
      <c r="AT269" s="55"/>
      <c r="AU269" s="53"/>
      <c r="AV269" s="56"/>
      <c r="AW269" s="54"/>
    </row>
    <row r="270" spans="1:49" s="32" customFormat="1" ht="15.75" x14ac:dyDescent="0.2">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c r="AA270" s="114">
        <f t="shared" si="48"/>
        <v>0</v>
      </c>
      <c r="AB270" s="101" t="str">
        <f>IFERROR(VLOOKUP(AA270,'Risk Matrices'!$A$35:$B$39,2,FALSE),"")</f>
        <v/>
      </c>
      <c r="AC270" s="49"/>
      <c r="AD270" s="101">
        <f t="shared" si="49"/>
        <v>0</v>
      </c>
      <c r="AE270" s="101">
        <f t="shared" si="55"/>
        <v>0</v>
      </c>
      <c r="AF270" s="102">
        <f t="shared" si="50"/>
        <v>0</v>
      </c>
      <c r="AG270" s="50"/>
      <c r="AH270" s="51"/>
      <c r="AI270" s="137"/>
      <c r="AJ270" s="49"/>
      <c r="AK270" s="49"/>
      <c r="AL270" s="101">
        <f t="shared" si="51"/>
        <v>0</v>
      </c>
      <c r="AM270" s="49"/>
      <c r="AN270" s="101">
        <f t="shared" si="52"/>
        <v>0</v>
      </c>
      <c r="AO270" s="101">
        <f t="shared" si="53"/>
        <v>0</v>
      </c>
      <c r="AP270" s="101">
        <f t="shared" si="54"/>
        <v>0</v>
      </c>
      <c r="AQ270" s="49"/>
      <c r="AR270" s="49"/>
      <c r="AS270" s="49"/>
      <c r="AT270" s="55"/>
      <c r="AU270" s="53"/>
      <c r="AV270" s="56"/>
      <c r="AW270" s="54"/>
    </row>
    <row r="271" spans="1:49" s="32" customFormat="1" ht="15.75" x14ac:dyDescent="0.2">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c r="AA271" s="114">
        <f t="shared" si="48"/>
        <v>0</v>
      </c>
      <c r="AB271" s="101" t="str">
        <f>IFERROR(VLOOKUP(AA271,'Risk Matrices'!$A$35:$B$39,2,FALSE),"")</f>
        <v/>
      </c>
      <c r="AC271" s="49"/>
      <c r="AD271" s="101">
        <f t="shared" si="49"/>
        <v>0</v>
      </c>
      <c r="AE271" s="101">
        <f t="shared" si="55"/>
        <v>0</v>
      </c>
      <c r="AF271" s="102">
        <f t="shared" si="50"/>
        <v>0</v>
      </c>
      <c r="AG271" s="50"/>
      <c r="AH271" s="51"/>
      <c r="AI271" s="137"/>
      <c r="AJ271" s="49"/>
      <c r="AK271" s="49"/>
      <c r="AL271" s="101">
        <f t="shared" si="51"/>
        <v>0</v>
      </c>
      <c r="AM271" s="49"/>
      <c r="AN271" s="101">
        <f t="shared" si="52"/>
        <v>0</v>
      </c>
      <c r="AO271" s="101">
        <f t="shared" si="53"/>
        <v>0</v>
      </c>
      <c r="AP271" s="101">
        <f t="shared" si="54"/>
        <v>0</v>
      </c>
      <c r="AQ271" s="49"/>
      <c r="AR271" s="49"/>
      <c r="AS271" s="49"/>
      <c r="AT271" s="55"/>
      <c r="AU271" s="53"/>
      <c r="AV271" s="56"/>
      <c r="AW271" s="54"/>
    </row>
    <row r="272" spans="1:49" s="32" customFormat="1" ht="15.75" x14ac:dyDescent="0.2">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c r="AA272" s="114">
        <f t="shared" si="48"/>
        <v>0</v>
      </c>
      <c r="AB272" s="101" t="str">
        <f>IFERROR(VLOOKUP(AA272,'Risk Matrices'!$A$35:$B$39,2,FALSE),"")</f>
        <v/>
      </c>
      <c r="AC272" s="49"/>
      <c r="AD272" s="101">
        <f t="shared" si="49"/>
        <v>0</v>
      </c>
      <c r="AE272" s="101">
        <f t="shared" si="55"/>
        <v>0</v>
      </c>
      <c r="AF272" s="102">
        <f t="shared" si="50"/>
        <v>0</v>
      </c>
      <c r="AG272" s="50"/>
      <c r="AH272" s="51"/>
      <c r="AI272" s="137"/>
      <c r="AJ272" s="49"/>
      <c r="AK272" s="49"/>
      <c r="AL272" s="101">
        <f t="shared" si="51"/>
        <v>0</v>
      </c>
      <c r="AM272" s="49"/>
      <c r="AN272" s="101">
        <f t="shared" si="52"/>
        <v>0</v>
      </c>
      <c r="AO272" s="101">
        <f t="shared" si="53"/>
        <v>0</v>
      </c>
      <c r="AP272" s="101">
        <f t="shared" si="54"/>
        <v>0</v>
      </c>
      <c r="AQ272" s="49"/>
      <c r="AR272" s="49"/>
      <c r="AS272" s="49"/>
      <c r="AT272" s="55"/>
      <c r="AU272" s="53"/>
      <c r="AV272" s="56"/>
      <c r="AW272" s="54"/>
    </row>
    <row r="273" spans="1:49" s="32" customFormat="1" ht="15.75" x14ac:dyDescent="0.2">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c r="AA273" s="114">
        <f t="shared" si="48"/>
        <v>0</v>
      </c>
      <c r="AB273" s="101" t="str">
        <f>IFERROR(VLOOKUP(AA273,'Risk Matrices'!$A$35:$B$39,2,FALSE),"")</f>
        <v/>
      </c>
      <c r="AC273" s="49"/>
      <c r="AD273" s="101">
        <f t="shared" si="49"/>
        <v>0</v>
      </c>
      <c r="AE273" s="101">
        <f t="shared" si="55"/>
        <v>0</v>
      </c>
      <c r="AF273" s="102">
        <f t="shared" si="50"/>
        <v>0</v>
      </c>
      <c r="AG273" s="50"/>
      <c r="AH273" s="51"/>
      <c r="AI273" s="137"/>
      <c r="AJ273" s="49"/>
      <c r="AK273" s="49"/>
      <c r="AL273" s="101">
        <f t="shared" si="51"/>
        <v>0</v>
      </c>
      <c r="AM273" s="49"/>
      <c r="AN273" s="101">
        <f t="shared" si="52"/>
        <v>0</v>
      </c>
      <c r="AO273" s="101">
        <f t="shared" si="53"/>
        <v>0</v>
      </c>
      <c r="AP273" s="101">
        <f t="shared" si="54"/>
        <v>0</v>
      </c>
      <c r="AQ273" s="49"/>
      <c r="AR273" s="49"/>
      <c r="AS273" s="49"/>
      <c r="AT273" s="55"/>
      <c r="AU273" s="53"/>
      <c r="AV273" s="56"/>
      <c r="AW273" s="54"/>
    </row>
    <row r="274" spans="1:49" s="32" customFormat="1" ht="15.75" x14ac:dyDescent="0.2">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c r="AA274" s="114">
        <f t="shared" si="48"/>
        <v>0</v>
      </c>
      <c r="AB274" s="101" t="str">
        <f>IFERROR(VLOOKUP(AA274,'Risk Matrices'!$A$35:$B$39,2,FALSE),"")</f>
        <v/>
      </c>
      <c r="AC274" s="49"/>
      <c r="AD274" s="101">
        <f t="shared" si="49"/>
        <v>0</v>
      </c>
      <c r="AE274" s="101">
        <f t="shared" si="55"/>
        <v>0</v>
      </c>
      <c r="AF274" s="102">
        <f t="shared" si="50"/>
        <v>0</v>
      </c>
      <c r="AG274" s="50"/>
      <c r="AH274" s="51"/>
      <c r="AI274" s="137"/>
      <c r="AJ274" s="49"/>
      <c r="AK274" s="49"/>
      <c r="AL274" s="101">
        <f t="shared" si="51"/>
        <v>0</v>
      </c>
      <c r="AM274" s="49"/>
      <c r="AN274" s="101">
        <f t="shared" si="52"/>
        <v>0</v>
      </c>
      <c r="AO274" s="101">
        <f t="shared" si="53"/>
        <v>0</v>
      </c>
      <c r="AP274" s="101">
        <f t="shared" si="54"/>
        <v>0</v>
      </c>
      <c r="AQ274" s="49"/>
      <c r="AR274" s="49"/>
      <c r="AS274" s="49"/>
      <c r="AT274" s="55"/>
      <c r="AU274" s="53"/>
      <c r="AV274" s="56"/>
      <c r="AW274" s="54"/>
    </row>
    <row r="275" spans="1:49" s="32" customFormat="1" ht="15.75" x14ac:dyDescent="0.2">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c r="AA275" s="114">
        <f t="shared" si="48"/>
        <v>0</v>
      </c>
      <c r="AB275" s="101" t="str">
        <f>IFERROR(VLOOKUP(AA275,'Risk Matrices'!$A$35:$B$39,2,FALSE),"")</f>
        <v/>
      </c>
      <c r="AC275" s="49"/>
      <c r="AD275" s="101">
        <f t="shared" si="49"/>
        <v>0</v>
      </c>
      <c r="AE275" s="101">
        <f t="shared" si="55"/>
        <v>0</v>
      </c>
      <c r="AF275" s="102">
        <f t="shared" si="50"/>
        <v>0</v>
      </c>
      <c r="AG275" s="50"/>
      <c r="AH275" s="51"/>
      <c r="AI275" s="137"/>
      <c r="AJ275" s="49"/>
      <c r="AK275" s="49"/>
      <c r="AL275" s="101">
        <f t="shared" si="51"/>
        <v>0</v>
      </c>
      <c r="AM275" s="49"/>
      <c r="AN275" s="101">
        <f t="shared" si="52"/>
        <v>0</v>
      </c>
      <c r="AO275" s="101">
        <f t="shared" si="53"/>
        <v>0</v>
      </c>
      <c r="AP275" s="101">
        <f t="shared" si="54"/>
        <v>0</v>
      </c>
      <c r="AQ275" s="49"/>
      <c r="AR275" s="49"/>
      <c r="AS275" s="49"/>
      <c r="AT275" s="55"/>
      <c r="AU275" s="53"/>
      <c r="AV275" s="56"/>
      <c r="AW275" s="54"/>
    </row>
    <row r="276" spans="1:49" ht="14.25" x14ac:dyDescent="0.2"/>
  </sheetData>
  <sheetProtection formatCells="0" formatColumns="0" formatRows="0" insertColumns="0" insertRows="0" autoFilter="0"/>
  <autoFilter ref="B1:AW275" xr:uid="{F1AE031C-6983-4CD8-A2D4-107A898C3BF4}">
    <filterColumn colId="25" showButton="0"/>
    <filterColumn colId="29" showButton="0"/>
    <filterColumn colId="32" showButton="0"/>
    <filterColumn colId="34" showButton="0"/>
    <filterColumn colId="35" showButton="0"/>
    <filterColumn colId="37" showButton="0"/>
    <filterColumn colId="39" showButton="0"/>
  </autoFilter>
  <mergeCells count="3">
    <mergeCell ref="AA1:AB1"/>
    <mergeCell ref="AE2:AF2"/>
    <mergeCell ref="AM1:AN1"/>
  </mergeCells>
  <conditionalFormatting sqref="AF74:AF81 AP100:AP275 AF115:AF275 AF3:AF70 AP3:AP69">
    <cfRule type="expression" dxfId="126" priority="197">
      <formula>AE3=20</formula>
    </cfRule>
  </conditionalFormatting>
  <conditionalFormatting sqref="AF74:AF81 AP100:AP275 AF115:AF275 AF3:AF70 AP3:AP69">
    <cfRule type="expression" dxfId="125" priority="183">
      <formula>AE3=1</formula>
    </cfRule>
  </conditionalFormatting>
  <conditionalFormatting sqref="AF74:AF81 AP100:AP275 AF115:AF275 AF3:AF70 AP3:AP69">
    <cfRule type="expression" dxfId="124" priority="184">
      <formula>AE3=2</formula>
    </cfRule>
  </conditionalFormatting>
  <conditionalFormatting sqref="AF74:AF81 AP100:AP275 AF115:AF275 AF3:AF70 AP3:AP69">
    <cfRule type="expression" dxfId="123" priority="185">
      <formula>AE3=3</formula>
    </cfRule>
  </conditionalFormatting>
  <conditionalFormatting sqref="AF74:AF81 AP100:AP275 AF115:AF275 AF3:AF70 AP3:AP69">
    <cfRule type="expression" dxfId="122" priority="186">
      <formula>AE3=4</formula>
    </cfRule>
  </conditionalFormatting>
  <conditionalFormatting sqref="AF74:AF81 AP100:AP275 AF115:AF275 AF3:AF70 AP3:AP69">
    <cfRule type="expression" dxfId="121" priority="187">
      <formula>AE3=5</formula>
    </cfRule>
  </conditionalFormatting>
  <conditionalFormatting sqref="AF74:AF81 AP100:AP275 AF115:AF275 AF3:AF70 AP3:AP69">
    <cfRule type="expression" dxfId="120" priority="188">
      <formula>AE3=6</formula>
    </cfRule>
  </conditionalFormatting>
  <conditionalFormatting sqref="AF74:AF81 AP100:AP275 AF115:AF275 AF3:AF70 AP3:AP69">
    <cfRule type="expression" dxfId="119" priority="189">
      <formula>AE3=8</formula>
    </cfRule>
  </conditionalFormatting>
  <conditionalFormatting sqref="AF74:AF81 AP100:AP275 AF115:AF275 AF3:AF70 AP3:AP69">
    <cfRule type="expression" dxfId="118" priority="190">
      <formula>AE3=9</formula>
    </cfRule>
  </conditionalFormatting>
  <conditionalFormatting sqref="AF74:AF81 AP100:AP275 AF115:AF275 AF3:AF70 AP3:AP69">
    <cfRule type="expression" dxfId="117" priority="191">
      <formula>AE3=10</formula>
    </cfRule>
  </conditionalFormatting>
  <conditionalFormatting sqref="AF74:AF81 AP100:AP275 AF115:AF275 AF3:AF70 AP3:AP69">
    <cfRule type="expression" dxfId="116" priority="192">
      <formula>AE3=12</formula>
    </cfRule>
  </conditionalFormatting>
  <conditionalFormatting sqref="AF74:AF81 AP100:AP275 AF115:AF275 AF3:AF70 AP3:AP69">
    <cfRule type="expression" dxfId="115" priority="193">
      <formula>AE3=0</formula>
    </cfRule>
  </conditionalFormatting>
  <conditionalFormatting sqref="AF74:AF81 AP100:AP275 AF115:AF275 AF3:AF70 AP3:AP69">
    <cfRule type="expression" dxfId="114" priority="194">
      <formula>AE3=15</formula>
    </cfRule>
  </conditionalFormatting>
  <conditionalFormatting sqref="AF74:AF81 AP100:AP275 AF115:AF275 AF3:AF70 AP3:AP69">
    <cfRule type="expression" dxfId="113" priority="195">
      <formula>AE3=16</formula>
    </cfRule>
  </conditionalFormatting>
  <conditionalFormatting sqref="AF74:AF81 AP100:AP275 AF115:AF275 AF3:AF70 AP3:AP69">
    <cfRule type="expression" dxfId="112" priority="196">
      <formula>AE3=25</formula>
    </cfRule>
  </conditionalFormatting>
  <conditionalFormatting sqref="AP85 AP87 AP89 AP91 AP93 AP95 AP97 AP99">
    <cfRule type="expression" dxfId="111" priority="19">
      <formula>AO85=1</formula>
    </cfRule>
  </conditionalFormatting>
  <conditionalFormatting sqref="AP77:AP84 AP86 AP88 AP90 AP92 AP94 AP96 AP98 AF82:AF114">
    <cfRule type="expression" dxfId="110" priority="140">
      <formula>AE77=20</formula>
    </cfRule>
  </conditionalFormatting>
  <conditionalFormatting sqref="AP77:AP84 AP86 AP88 AP90 AP92 AP94 AP96 AP98 AF82:AF114">
    <cfRule type="expression" dxfId="109" priority="126">
      <formula>AE77=1</formula>
    </cfRule>
  </conditionalFormatting>
  <conditionalFormatting sqref="AP77:AP84 AP86 AP88 AP90 AP92 AP94 AP96 AP98 AF82:AF114">
    <cfRule type="expression" dxfId="108" priority="127">
      <formula>AE77=2</formula>
    </cfRule>
  </conditionalFormatting>
  <conditionalFormatting sqref="AP77:AP84 AP86 AP88 AP90 AP92 AP94 AP96 AP98 AF82:AF114">
    <cfRule type="expression" dxfId="107" priority="128">
      <formula>AE77=3</formula>
    </cfRule>
  </conditionalFormatting>
  <conditionalFormatting sqref="AP77:AP84 AP86 AP88 AP90 AP92 AP94 AP96 AP98 AF82:AF114">
    <cfRule type="expression" dxfId="106" priority="129">
      <formula>AE77=4</formula>
    </cfRule>
  </conditionalFormatting>
  <conditionalFormatting sqref="AP77:AP84 AP86 AP88 AP90 AP92 AP94 AP96 AP98 AF82:AF114">
    <cfRule type="expression" dxfId="105" priority="130">
      <formula>AE77=5</formula>
    </cfRule>
  </conditionalFormatting>
  <conditionalFormatting sqref="AP77:AP84 AP86 AP88 AP90 AP92 AP94 AP96 AP98 AF82:AF114">
    <cfRule type="expression" dxfId="104" priority="131">
      <formula>AE77=6</formula>
    </cfRule>
  </conditionalFormatting>
  <conditionalFormatting sqref="AP77:AP84 AP86 AP88 AP90 AP92 AP94 AP96 AP98 AF82:AF114">
    <cfRule type="expression" dxfId="103" priority="132">
      <formula>AE77=8</formula>
    </cfRule>
  </conditionalFormatting>
  <conditionalFormatting sqref="AP77:AP84 AP86 AP88 AP90 AP92 AP94 AP96 AP98 AF82:AF114">
    <cfRule type="expression" dxfId="102" priority="133">
      <formula>AE77=9</formula>
    </cfRule>
  </conditionalFormatting>
  <conditionalFormatting sqref="AP77:AP84 AP86 AP88 AP90 AP92 AP94 AP96 AP98 AF82:AF114">
    <cfRule type="expression" dxfId="101" priority="134">
      <formula>AE77=10</formula>
    </cfRule>
  </conditionalFormatting>
  <conditionalFormatting sqref="AP77:AP84 AP86 AP88 AP90 AP92 AP94 AP96 AP98 AF82:AF114">
    <cfRule type="expression" dxfId="100" priority="135">
      <formula>AE77=12</formula>
    </cfRule>
  </conditionalFormatting>
  <conditionalFormatting sqref="AP77:AP84 AP86 AP88 AP90 AP92 AP94 AP96 AP98 AF82:AF114">
    <cfRule type="expression" dxfId="99" priority="136">
      <formula>AE77=0</formula>
    </cfRule>
  </conditionalFormatting>
  <conditionalFormatting sqref="AP77:AP84 AP86 AP88 AP90 AP92 AP94 AP96 AP98 AF82:AF114">
    <cfRule type="expression" dxfId="98" priority="137">
      <formula>AE77=15</formula>
    </cfRule>
  </conditionalFormatting>
  <conditionalFormatting sqref="AP77:AP84 AP86 AP88 AP90 AP92 AP94 AP96 AP98 AF82:AF114">
    <cfRule type="expression" dxfId="97" priority="138">
      <formula>AE77=16</formula>
    </cfRule>
  </conditionalFormatting>
  <conditionalFormatting sqref="AP77:AP84 AP86 AP88 AP90 AP92 AP94 AP96 AP98 AF82:AF114">
    <cfRule type="expression" dxfId="96" priority="139">
      <formula>AE77=25</formula>
    </cfRule>
  </conditionalFormatting>
  <conditionalFormatting sqref="AF71:AF73 AP70:AP73">
    <cfRule type="expression" dxfId="95" priority="115">
      <formula>AE70=20</formula>
    </cfRule>
  </conditionalFormatting>
  <conditionalFormatting sqref="AF71:AF73 AP70:AP73">
    <cfRule type="expression" dxfId="94" priority="101">
      <formula>AE70=1</formula>
    </cfRule>
  </conditionalFormatting>
  <conditionalFormatting sqref="AF71:AF73 AP70:AP73">
    <cfRule type="expression" dxfId="93" priority="102">
      <formula>AE70=2</formula>
    </cfRule>
  </conditionalFormatting>
  <conditionalFormatting sqref="AF71:AF73 AP70:AP73">
    <cfRule type="expression" dxfId="92" priority="103">
      <formula>AE70=3</formula>
    </cfRule>
  </conditionalFormatting>
  <conditionalFormatting sqref="AF71:AF73 AP70:AP73">
    <cfRule type="expression" dxfId="91" priority="104">
      <formula>AE70=4</formula>
    </cfRule>
  </conditionalFormatting>
  <conditionalFormatting sqref="AF71:AF73 AP70:AP73">
    <cfRule type="expression" dxfId="90" priority="105">
      <formula>AE70=5</formula>
    </cfRule>
  </conditionalFormatting>
  <conditionalFormatting sqref="AF71:AF73 AP70:AP73">
    <cfRule type="expression" dxfId="89" priority="106">
      <formula>AE70=6</formula>
    </cfRule>
  </conditionalFormatting>
  <conditionalFormatting sqref="AF71:AF73 AP70:AP73">
    <cfRule type="expression" dxfId="88" priority="107">
      <formula>AE70=8</formula>
    </cfRule>
  </conditionalFormatting>
  <conditionalFormatting sqref="AF71:AF73 AP70:AP73">
    <cfRule type="expression" dxfId="87" priority="108">
      <formula>AE70=9</formula>
    </cfRule>
  </conditionalFormatting>
  <conditionalFormatting sqref="AF71:AF73 AP70:AP73">
    <cfRule type="expression" dxfId="86" priority="109">
      <formula>AE70=10</formula>
    </cfRule>
  </conditionalFormatting>
  <conditionalFormatting sqref="AF71:AF73 AP70:AP73">
    <cfRule type="expression" dxfId="85" priority="110">
      <formula>AE70=12</formula>
    </cfRule>
  </conditionalFormatting>
  <conditionalFormatting sqref="AF71:AF73 AP70:AP73">
    <cfRule type="expression" dxfId="84" priority="111">
      <formula>AE70=0</formula>
    </cfRule>
  </conditionalFormatting>
  <conditionalFormatting sqref="AF71:AF73 AP70:AP73">
    <cfRule type="expression" dxfId="83" priority="112">
      <formula>AE70=15</formula>
    </cfRule>
  </conditionalFormatting>
  <conditionalFormatting sqref="AF71:AF73 AP70:AP73">
    <cfRule type="expression" dxfId="82" priority="113">
      <formula>AE70=16</formula>
    </cfRule>
  </conditionalFormatting>
  <conditionalFormatting sqref="AF71:AF73 AP70:AP73">
    <cfRule type="expression" dxfId="81" priority="114">
      <formula>AE70=25</formula>
    </cfRule>
  </conditionalFormatting>
  <conditionalFormatting sqref="AP74:AP76">
    <cfRule type="expression" dxfId="80" priority="91">
      <formula>AO74=20</formula>
    </cfRule>
  </conditionalFormatting>
  <conditionalFormatting sqref="AP74:AP76">
    <cfRule type="expression" dxfId="79" priority="77">
      <formula>AO74=1</formula>
    </cfRule>
  </conditionalFormatting>
  <conditionalFormatting sqref="AP74:AP76">
    <cfRule type="expression" dxfId="78" priority="78">
      <formula>AO74=2</formula>
    </cfRule>
  </conditionalFormatting>
  <conditionalFormatting sqref="AP74:AP76">
    <cfRule type="expression" dxfId="77" priority="79">
      <formula>AO74=3</formula>
    </cfRule>
  </conditionalFormatting>
  <conditionalFormatting sqref="AP74:AP76">
    <cfRule type="expression" dxfId="76" priority="80">
      <formula>AO74=4</formula>
    </cfRule>
  </conditionalFormatting>
  <conditionalFormatting sqref="AP74:AP76">
    <cfRule type="expression" dxfId="75" priority="81">
      <formula>AO74=5</formula>
    </cfRule>
  </conditionalFormatting>
  <conditionalFormatting sqref="AP74:AP76">
    <cfRule type="expression" dxfId="74" priority="82">
      <formula>AO74=6</formula>
    </cfRule>
  </conditionalFormatting>
  <conditionalFormatting sqref="AP74:AP76">
    <cfRule type="expression" dxfId="73" priority="83">
      <formula>AO74=8</formula>
    </cfRule>
  </conditionalFormatting>
  <conditionalFormatting sqref="AP74:AP76">
    <cfRule type="expression" dxfId="72" priority="84">
      <formula>AO74=9</formula>
    </cfRule>
  </conditionalFormatting>
  <conditionalFormatting sqref="AP74:AP76">
    <cfRule type="expression" dxfId="71" priority="85">
      <formula>AO74=10</formula>
    </cfRule>
  </conditionalFormatting>
  <conditionalFormatting sqref="AP74:AP76">
    <cfRule type="expression" dxfId="70" priority="86">
      <formula>AO74=12</formula>
    </cfRule>
  </conditionalFormatting>
  <conditionalFormatting sqref="AP74:AP76">
    <cfRule type="expression" dxfId="69" priority="87">
      <formula>AO74=0</formula>
    </cfRule>
  </conditionalFormatting>
  <conditionalFormatting sqref="AP74:AP76">
    <cfRule type="expression" dxfId="68" priority="88">
      <formula>AO74=15</formula>
    </cfRule>
  </conditionalFormatting>
  <conditionalFormatting sqref="AP74:AP76">
    <cfRule type="expression" dxfId="67" priority="89">
      <formula>AO74=16</formula>
    </cfRule>
  </conditionalFormatting>
  <conditionalFormatting sqref="AP74:AP76">
    <cfRule type="expression" dxfId="66" priority="90">
      <formula>AO74=25</formula>
    </cfRule>
  </conditionalFormatting>
  <conditionalFormatting sqref="I70:I76">
    <cfRule type="duplicateValues" dxfId="65" priority="125"/>
  </conditionalFormatting>
  <conditionalFormatting sqref="I77">
    <cfRule type="duplicateValues" dxfId="64" priority="43"/>
  </conditionalFormatting>
  <conditionalFormatting sqref="AP85 AP87 AP89 AP91 AP93 AP95 AP97 AP99">
    <cfRule type="expression" dxfId="63" priority="33">
      <formula>AO85=20</formula>
    </cfRule>
  </conditionalFormatting>
  <conditionalFormatting sqref="AP85 AP87 AP89 AP91 AP93 AP95 AP97 AP99">
    <cfRule type="expression" dxfId="62" priority="20">
      <formula>AO85=2</formula>
    </cfRule>
  </conditionalFormatting>
  <conditionalFormatting sqref="AP85 AP87 AP89 AP91 AP93 AP95 AP97 AP99">
    <cfRule type="expression" dxfId="61" priority="21">
      <formula>AO85=3</formula>
    </cfRule>
  </conditionalFormatting>
  <conditionalFormatting sqref="AP85 AP87 AP89 AP91 AP93 AP95 AP97 AP99">
    <cfRule type="expression" dxfId="60" priority="22">
      <formula>AO85=4</formula>
    </cfRule>
  </conditionalFormatting>
  <conditionalFormatting sqref="AP85 AP87 AP89 AP91 AP93 AP95 AP97 AP99">
    <cfRule type="expression" dxfId="59" priority="23">
      <formula>AO85=5</formula>
    </cfRule>
  </conditionalFormatting>
  <conditionalFormatting sqref="AP85 AP87 AP89 AP91 AP93 AP95 AP97 AP99">
    <cfRule type="expression" dxfId="58" priority="24">
      <formula>AO85=6</formula>
    </cfRule>
  </conditionalFormatting>
  <conditionalFormatting sqref="AP85 AP87 AP89 AP91 AP93 AP95 AP97 AP99">
    <cfRule type="expression" dxfId="57" priority="25">
      <formula>AO85=8</formula>
    </cfRule>
  </conditionalFormatting>
  <conditionalFormatting sqref="AP85 AP87 AP89 AP91 AP93 AP95 AP97 AP99">
    <cfRule type="expression" dxfId="56" priority="26">
      <formula>AO85=9</formula>
    </cfRule>
  </conditionalFormatting>
  <conditionalFormatting sqref="AP85 AP87 AP89 AP91 AP93 AP95 AP97 AP99">
    <cfRule type="expression" dxfId="55" priority="27">
      <formula>AO85=10</formula>
    </cfRule>
  </conditionalFormatting>
  <conditionalFormatting sqref="AP85 AP87 AP89 AP91 AP93 AP95 AP97 AP99">
    <cfRule type="expression" dxfId="54" priority="28">
      <formula>AO85=12</formula>
    </cfRule>
  </conditionalFormatting>
  <conditionalFormatting sqref="AP85 AP87 AP89 AP91 AP93 AP95 AP97 AP99">
    <cfRule type="expression" dxfId="53" priority="29">
      <formula>AO85=0</formula>
    </cfRule>
  </conditionalFormatting>
  <conditionalFormatting sqref="AP85 AP87 AP89 AP91 AP93 AP95 AP97 AP99">
    <cfRule type="expression" dxfId="52" priority="30">
      <formula>AO85=15</formula>
    </cfRule>
  </conditionalFormatting>
  <conditionalFormatting sqref="AP85 AP87 AP89 AP91 AP93 AP95 AP97 AP99">
    <cfRule type="expression" dxfId="51" priority="31">
      <formula>AO85=16</formula>
    </cfRule>
  </conditionalFormatting>
  <conditionalFormatting sqref="AP85 AP87 AP89 AP91 AP93 AP95 AP97 AP99">
    <cfRule type="expression" dxfId="50" priority="32">
      <formula>AO85=25</formula>
    </cfRule>
  </conditionalFormatting>
  <conditionalFormatting sqref="I109">
    <cfRule type="duplicateValues" dxfId="49" priority="354"/>
  </conditionalFormatting>
  <dataValidations count="8">
    <dataValidation type="list" allowBlank="1" showInputMessage="1" showErrorMessage="1" sqref="AJ70:AJ74" xr:uid="{8CF0CB3C-D0AF-48AF-81F3-8F4E01DD31C6}">
      <formula1>$C$59:$C$63</formula1>
    </dataValidation>
    <dataValidation type="list" allowBlank="1" showInputMessage="1" showErrorMessage="1" sqref="AK70:AK74" xr:uid="{D96E5A51-AB70-4077-A90A-382EE6071FEC}">
      <formula1>$B$45:$B$49</formula1>
    </dataValidation>
    <dataValidation type="list" allowBlank="1" showInputMessage="1" showErrorMessage="1" sqref="AJ62:AJ69 AJ77:AJ78" xr:uid="{7F05508A-5663-4BB7-8171-886A57A0F69D}">
      <formula1>$C$84:$C$88</formula1>
    </dataValidation>
    <dataValidation type="list" allowBlank="1" showInputMessage="1" showErrorMessage="1" sqref="AK62:AK69 AK77:AK78" xr:uid="{F06D6E72-D5EC-4049-AC37-1A8C2400F3E1}">
      <formula1>$B$78:$B$81</formula1>
    </dataValidation>
    <dataValidation type="list" allowBlank="1" showInputMessage="1" showErrorMessage="1" sqref="AC63 AC67:AC69" xr:uid="{7BF07C1E-D34D-41C7-B802-1AA46240404A}">
      <formula1>$D$78:$D$81</formula1>
    </dataValidation>
    <dataValidation type="list" allowBlank="1" showInputMessage="1" showErrorMessage="1" sqref="AJ100:AJ275 AJ3:AJ61" xr:uid="{1FC28A58-FA37-4991-BCA5-7E2D5DCEFCF0}">
      <formula1>$C$100:$C$103</formula1>
    </dataValidation>
    <dataValidation type="list" allowBlank="1" showInputMessage="1" showErrorMessage="1" sqref="AK100:AK275 AK3:AK61" xr:uid="{DC6EE033-642C-405C-88E7-DC08A9750E4E}">
      <formula1>#REF!</formula1>
    </dataValidation>
    <dataValidation type="list" allowBlank="1" showInputMessage="1" showErrorMessage="1" sqref="AQ78 AQ62:AQ65 C77:C78 O82:O84 O77:O78 O62:O69 AU82:AU84 AU75:AU80 AU71 AU62:AU69 AM82:AM84 AM77:AM78 AC62:AC66 R62:Z69 AM62:AM69 R77:Z85 AG62:AI69 AG77:AI85 R100:T107 E100:E107 AQ3:AQ7 AU3:AU7 C62:E69 D77:E85" xr:uid="{82C8CB57-7ADF-496E-A3EC-7347C67FF239}"/>
  </dataValidations>
  <hyperlinks>
    <hyperlink ref="Q79" r:id="rId1" display="Licence" xr:uid="{7F4B50E0-F68E-4442-83C2-42EEF4C35A5B}"/>
  </hyperlinks>
  <pageMargins left="0.7" right="0.7" top="0.75" bottom="0.75" header="0.3" footer="0.3"/>
  <pageSetup orientation="portrait" r:id="rId2"/>
  <legacyDrawing r:id="rId3"/>
  <extLst>
    <ext xmlns:x14="http://schemas.microsoft.com/office/spreadsheetml/2009/9/main" uri="{78C0D931-6437-407d-A8EE-F0AAD7539E65}">
      <x14:conditionalFormattings>
        <x14:conditionalFormatting xmlns:xm="http://schemas.microsoft.com/office/excel/2006/main">
          <x14:cfRule type="containsText" priority="247" operator="containsText" id="{70D1AB4E-9D76-4B68-9932-4A25A3F28FE9}">
            <xm:f>NOT(ISERROR(SEARCH(#REF!,AG3)))</xm:f>
            <xm:f>#REF!</xm:f>
            <x14:dxf>
              <fill>
                <patternFill>
                  <bgColor theme="9"/>
                </patternFill>
              </fill>
            </x14:dxf>
          </x14:cfRule>
          <x14:cfRule type="containsText" priority="248" operator="containsText" id="{5B9BEF8E-4F88-4CA4-BA51-797B2546657B}">
            <xm:f>NOT(ISERROR(SEARCH(#REF!,AG3)))</xm:f>
            <xm:f>#REF!</xm:f>
            <x14:dxf>
              <fill>
                <patternFill>
                  <bgColor rgb="FFFFFF00"/>
                </patternFill>
              </fill>
            </x14:dxf>
          </x14:cfRule>
          <x14:cfRule type="containsText" priority="249" operator="containsText" id="{D24DBA89-D721-45FC-80F0-4620BA9E714D}">
            <xm:f>NOT(ISERROR(SEARCH(#REF!,AG3)))</xm:f>
            <xm:f>#REF!</xm:f>
            <x14:dxf>
              <fill>
                <patternFill>
                  <bgColor theme="5"/>
                </patternFill>
              </fill>
            </x14:dxf>
          </x14:cfRule>
          <x14:cfRule type="containsText" priority="250" operator="containsText" id="{2A8D8AF1-BD34-475E-BF93-A4B814EB18AB}">
            <xm:f>NOT(ISERROR(SEARCH(#REF!,AG3)))</xm:f>
            <xm:f>#REF!</xm:f>
            <x14:dxf>
              <fill>
                <patternFill>
                  <bgColor rgb="FFFF0000"/>
                </patternFill>
              </fill>
            </x14:dxf>
          </x14:cfRule>
          <xm:sqref>AG100:AI275 AG3:AI61</xm:sqref>
        </x14:conditionalFormatting>
        <x14:conditionalFormatting xmlns:xm="http://schemas.microsoft.com/office/excel/2006/main">
          <x14:cfRule type="containsText" priority="251" operator="containsText" id="{835A2EA2-01BE-462E-82AB-B926B5A60168}">
            <xm:f>NOT(ISERROR(SEARCH(#REF!,AJ3)))</xm:f>
            <xm:f>#REF!</xm:f>
            <x14:dxf>
              <fill>
                <patternFill>
                  <bgColor rgb="FFC00000"/>
                </patternFill>
              </fill>
            </x14:dxf>
          </x14:cfRule>
          <x14:cfRule type="containsText" priority="252" operator="containsText" id="{9B8349FC-09D5-40FB-B4A4-3C6E7E8CC0BA}">
            <xm:f>NOT(ISERROR(SEARCH(#REF!,AJ3)))</xm:f>
            <xm:f>#REF!</xm:f>
            <x14:dxf>
              <fill>
                <patternFill>
                  <bgColor theme="9" tint="0.39994506668294322"/>
                </patternFill>
              </fill>
            </x14:dxf>
          </x14:cfRule>
          <x14:cfRule type="containsText" priority="253" operator="containsText" id="{82D29F71-08EC-4513-894F-DDFDF5957664}">
            <xm:f>NOT(ISERROR(SEARCH(#REF!,AJ3)))</xm:f>
            <xm:f>#REF!</xm:f>
            <x14:dxf>
              <fill>
                <patternFill>
                  <bgColor theme="9"/>
                </patternFill>
              </fill>
            </x14:dxf>
          </x14:cfRule>
          <x14:cfRule type="containsText" priority="254" operator="containsText" id="{09D8BC56-2EA2-470D-A7BE-5EB5BCD7AA9E}">
            <xm:f>NOT(ISERROR(SEARCH(#REF!,AJ3)))</xm:f>
            <xm:f>#REF!</xm:f>
            <x14:dxf>
              <fill>
                <patternFill>
                  <bgColor rgb="FFFFFF00"/>
                </patternFill>
              </fill>
            </x14:dxf>
          </x14:cfRule>
          <x14:cfRule type="containsText" priority="255" operator="containsText" id="{A186FC14-8FF5-4C42-9C37-DECF3B3E8783}">
            <xm:f>NOT(ISERROR(SEARCH(#REF!,AJ3)))</xm:f>
            <xm:f>#REF!</xm:f>
            <x14:dxf>
              <fill>
                <patternFill>
                  <bgColor theme="5"/>
                </patternFill>
              </fill>
            </x14:dxf>
          </x14:cfRule>
          <xm:sqref>AP100:AP275 AM100:AM275 AJ100:AK275 AP3:AP61 AJ3:AK61 AM3:AM61</xm:sqref>
        </x14:conditionalFormatting>
        <x14:conditionalFormatting xmlns:xm="http://schemas.microsoft.com/office/excel/2006/main">
          <x14:cfRule type="containsText" priority="141" operator="containsText" id="{8391E83A-84D5-4E65-B834-6532D5FA387B}">
            <xm:f>NOT(ISERROR(SEARCH(#REF!,AG62)))</xm:f>
            <xm:f>#REF!</xm:f>
            <x14:dxf>
              <fill>
                <patternFill>
                  <bgColor theme="9"/>
                </patternFill>
              </fill>
            </x14:dxf>
          </x14:cfRule>
          <x14:cfRule type="containsText" priority="142" operator="containsText" id="{BC38AE82-13D3-490D-A0E5-E70A3EA3B67F}">
            <xm:f>NOT(ISERROR(SEARCH(#REF!,AG62)))</xm:f>
            <xm:f>#REF!</xm:f>
            <x14:dxf>
              <fill>
                <patternFill>
                  <bgColor rgb="FFFFFF00"/>
                </patternFill>
              </fill>
            </x14:dxf>
          </x14:cfRule>
          <x14:cfRule type="containsText" priority="143" operator="containsText" id="{4A1273A2-FEAD-497F-B60B-567427FAAC4B}">
            <xm:f>NOT(ISERROR(SEARCH(#REF!,AG62)))</xm:f>
            <xm:f>#REF!</xm:f>
            <x14:dxf>
              <fill>
                <patternFill>
                  <bgColor theme="5"/>
                </patternFill>
              </fill>
            </x14:dxf>
          </x14:cfRule>
          <x14:cfRule type="containsText" priority="144" operator="containsText" id="{EF9B3687-D4C2-4DD9-BD7B-17EB575D130E}">
            <xm:f>NOT(ISERROR(SEARCH(#REF!,AG62)))</xm:f>
            <xm:f>#REF!</xm:f>
            <x14:dxf>
              <fill>
                <patternFill>
                  <bgColor rgb="FFFF0000"/>
                </patternFill>
              </fill>
            </x14:dxf>
          </x14:cfRule>
          <xm:sqref>AG81 AG77:AI80 AG62:AI69 AG82:AI84</xm:sqref>
        </x14:conditionalFormatting>
        <x14:conditionalFormatting xmlns:xm="http://schemas.microsoft.com/office/excel/2006/main">
          <x14:cfRule type="containsText" priority="145" operator="containsText" id="{C88065FA-DBF3-4930-B2DF-C0D2E34A2156}">
            <xm:f>NOT(ISERROR(SEARCH(#REF!,AJ62)))</xm:f>
            <xm:f>#REF!</xm:f>
            <x14:dxf>
              <fill>
                <patternFill>
                  <bgColor rgb="FFC00000"/>
                </patternFill>
              </fill>
            </x14:dxf>
          </x14:cfRule>
          <x14:cfRule type="containsText" priority="146" operator="containsText" id="{1FB6466A-CA28-41A9-8D0D-78C278529E5D}">
            <xm:f>NOT(ISERROR(SEARCH(#REF!,AJ62)))</xm:f>
            <xm:f>#REF!</xm:f>
            <x14:dxf>
              <fill>
                <patternFill>
                  <bgColor theme="9" tint="0.39994506668294322"/>
                </patternFill>
              </fill>
            </x14:dxf>
          </x14:cfRule>
          <x14:cfRule type="containsText" priority="147" operator="containsText" id="{77D8968D-DDC7-49E4-8D30-721D5348FBED}">
            <xm:f>NOT(ISERROR(SEARCH(#REF!,AJ62)))</xm:f>
            <xm:f>#REF!</xm:f>
            <x14:dxf>
              <fill>
                <patternFill>
                  <bgColor theme="9"/>
                </patternFill>
              </fill>
            </x14:dxf>
          </x14:cfRule>
          <x14:cfRule type="containsText" priority="148" operator="containsText" id="{A55B42E8-6C28-442B-8BEB-CA415692E0EF}">
            <xm:f>NOT(ISERROR(SEARCH(#REF!,AJ62)))</xm:f>
            <xm:f>#REF!</xm:f>
            <x14:dxf>
              <fill>
                <patternFill>
                  <bgColor rgb="FFFFFF00"/>
                </patternFill>
              </fill>
            </x14:dxf>
          </x14:cfRule>
          <x14:cfRule type="containsText" priority="149" operator="containsText" id="{902F6CEC-17CD-460E-883A-3B640B2085D9}">
            <xm:f>NOT(ISERROR(SEARCH(#REF!,AJ62)))</xm:f>
            <xm:f>#REF!</xm:f>
            <x14:dxf>
              <fill>
                <patternFill>
                  <bgColor theme="5"/>
                </patternFill>
              </fill>
            </x14:dxf>
          </x14:cfRule>
          <xm:sqref>AM82:AM84 AM77:AM78 AJ77:AK78 AP77:AP84 AP86 AP88 AP90 AP92 AP94 AP96 AP98 AJ62:AK69 AM62:AM69 AP62:AP69</xm:sqref>
        </x14:conditionalFormatting>
        <x14:conditionalFormatting xmlns:xm="http://schemas.microsoft.com/office/excel/2006/main">
          <x14:cfRule type="containsText" priority="116" operator="containsText" id="{0935EF82-8892-4AC5-9F3B-B0F015008B9A}">
            <xm:f>NOT(ISERROR(SEARCH(#REF!,AG70)))</xm:f>
            <xm:f>#REF!</xm:f>
            <x14:dxf>
              <fill>
                <patternFill>
                  <bgColor theme="9"/>
                </patternFill>
              </fill>
            </x14:dxf>
          </x14:cfRule>
          <x14:cfRule type="containsText" priority="117" operator="containsText" id="{16C33C3C-9C11-4D7A-BC56-F7516D52675A}">
            <xm:f>NOT(ISERROR(SEARCH(#REF!,AG70)))</xm:f>
            <xm:f>#REF!</xm:f>
            <x14:dxf>
              <fill>
                <patternFill>
                  <bgColor rgb="FFFFFF00"/>
                </patternFill>
              </fill>
            </x14:dxf>
          </x14:cfRule>
          <x14:cfRule type="containsText" priority="118" operator="containsText" id="{D940703E-BA24-41D2-88FA-A7A71EC4DD0B}">
            <xm:f>NOT(ISERROR(SEARCH(#REF!,AG70)))</xm:f>
            <xm:f>#REF!</xm:f>
            <x14:dxf>
              <fill>
                <patternFill>
                  <bgColor theme="5"/>
                </patternFill>
              </fill>
            </x14:dxf>
          </x14:cfRule>
          <x14:cfRule type="containsText" priority="119" operator="containsText" id="{782C9A6C-47B2-4834-8E5A-42921B7A4A59}">
            <xm:f>NOT(ISERROR(SEARCH(#REF!,AG70)))</xm:f>
            <xm:f>#REF!</xm:f>
            <x14:dxf>
              <fill>
                <patternFill>
                  <bgColor rgb="FFFF0000"/>
                </patternFill>
              </fill>
            </x14:dxf>
          </x14:cfRule>
          <xm:sqref>AG75:AI76 AG70:AI73</xm:sqref>
        </x14:conditionalFormatting>
        <x14:conditionalFormatting xmlns:xm="http://schemas.microsoft.com/office/excel/2006/main">
          <x14:cfRule type="containsText" priority="120" operator="containsText" id="{1A862023-C674-499E-B353-C6BFACF998D9}">
            <xm:f>NOT(ISERROR(SEARCH(#REF!,AJ70)))</xm:f>
            <xm:f>#REF!</xm:f>
            <x14:dxf>
              <fill>
                <patternFill>
                  <bgColor rgb="FFC00000"/>
                </patternFill>
              </fill>
            </x14:dxf>
          </x14:cfRule>
          <x14:cfRule type="containsText" priority="121" operator="containsText" id="{44A7AD44-109C-49DE-83F7-164E304FBD0C}">
            <xm:f>NOT(ISERROR(SEARCH(#REF!,AJ70)))</xm:f>
            <xm:f>#REF!</xm:f>
            <x14:dxf>
              <fill>
                <patternFill>
                  <bgColor theme="9" tint="0.39994506668294322"/>
                </patternFill>
              </fill>
            </x14:dxf>
          </x14:cfRule>
          <x14:cfRule type="containsText" priority="122" operator="containsText" id="{08189DE2-D74A-454E-B3B7-0C609B3C1109}">
            <xm:f>NOT(ISERROR(SEARCH(#REF!,AJ70)))</xm:f>
            <xm:f>#REF!</xm:f>
            <x14:dxf>
              <fill>
                <patternFill>
                  <bgColor theme="9"/>
                </patternFill>
              </fill>
            </x14:dxf>
          </x14:cfRule>
          <x14:cfRule type="containsText" priority="123" operator="containsText" id="{E9703CAF-9299-4CD3-AD4D-6019BB4EB686}">
            <xm:f>NOT(ISERROR(SEARCH(#REF!,AJ70)))</xm:f>
            <xm:f>#REF!</xm:f>
            <x14:dxf>
              <fill>
                <patternFill>
                  <bgColor rgb="FFFFFF00"/>
                </patternFill>
              </fill>
            </x14:dxf>
          </x14:cfRule>
          <x14:cfRule type="containsText" priority="124" operator="containsText" id="{8BC09798-3995-4E04-AD79-CFE831382006}">
            <xm:f>NOT(ISERROR(SEARCH(#REF!,AJ70)))</xm:f>
            <xm:f>#REF!</xm:f>
            <x14:dxf>
              <fill>
                <patternFill>
                  <bgColor theme="5"/>
                </patternFill>
              </fill>
            </x14:dxf>
          </x14:cfRule>
          <xm:sqref>AM70:AM73 AJ70:AK73 AP70:AP73</xm:sqref>
        </x14:conditionalFormatting>
        <x14:conditionalFormatting xmlns:xm="http://schemas.microsoft.com/office/excel/2006/main">
          <x14:cfRule type="containsText" priority="92" operator="containsText" id="{506B040B-3207-4708-BF1C-2D265FCA5F43}">
            <xm:f>NOT(ISERROR(SEARCH(#REF!,AG74)))</xm:f>
            <xm:f>#REF!</xm:f>
            <x14:dxf>
              <fill>
                <patternFill>
                  <bgColor theme="9"/>
                </patternFill>
              </fill>
            </x14:dxf>
          </x14:cfRule>
          <x14:cfRule type="containsText" priority="93" operator="containsText" id="{EEDE1DBE-B4B0-4849-95F4-96AEF193CBEA}">
            <xm:f>NOT(ISERROR(SEARCH(#REF!,AG74)))</xm:f>
            <xm:f>#REF!</xm:f>
            <x14:dxf>
              <fill>
                <patternFill>
                  <bgColor rgb="FFFFFF00"/>
                </patternFill>
              </fill>
            </x14:dxf>
          </x14:cfRule>
          <x14:cfRule type="containsText" priority="94" operator="containsText" id="{6FC63502-45B4-4929-9C68-50C7AAFD6AC6}">
            <xm:f>NOT(ISERROR(SEARCH(#REF!,AG74)))</xm:f>
            <xm:f>#REF!</xm:f>
            <x14:dxf>
              <fill>
                <patternFill>
                  <bgColor theme="5"/>
                </patternFill>
              </fill>
            </x14:dxf>
          </x14:cfRule>
          <x14:cfRule type="containsText" priority="95" operator="containsText" id="{62BCCE97-F277-4FCC-BF2C-434A93E1BBAB}">
            <xm:f>NOT(ISERROR(SEARCH(#REF!,AG74)))</xm:f>
            <xm:f>#REF!</xm:f>
            <x14:dxf>
              <fill>
                <patternFill>
                  <bgColor rgb="FFFF0000"/>
                </patternFill>
              </fill>
            </x14:dxf>
          </x14:cfRule>
          <xm:sqref>AG74:AI74</xm:sqref>
        </x14:conditionalFormatting>
        <x14:conditionalFormatting xmlns:xm="http://schemas.microsoft.com/office/excel/2006/main">
          <x14:cfRule type="containsText" priority="96" operator="containsText" id="{BE11C3BF-AAEF-443F-B373-994CC0ECD059}">
            <xm:f>NOT(ISERROR(SEARCH(#REF!,AJ74)))</xm:f>
            <xm:f>#REF!</xm:f>
            <x14:dxf>
              <fill>
                <patternFill>
                  <bgColor rgb="FFC00000"/>
                </patternFill>
              </fill>
            </x14:dxf>
          </x14:cfRule>
          <x14:cfRule type="containsText" priority="97" operator="containsText" id="{C66667F0-C06A-4750-9638-D38B61CFE559}">
            <xm:f>NOT(ISERROR(SEARCH(#REF!,AJ74)))</xm:f>
            <xm:f>#REF!</xm:f>
            <x14:dxf>
              <fill>
                <patternFill>
                  <bgColor theme="9" tint="0.39994506668294322"/>
                </patternFill>
              </fill>
            </x14:dxf>
          </x14:cfRule>
          <x14:cfRule type="containsText" priority="98" operator="containsText" id="{D00A7361-70C6-4AB8-9A82-E59B12E20DB1}">
            <xm:f>NOT(ISERROR(SEARCH(#REF!,AJ74)))</xm:f>
            <xm:f>#REF!</xm:f>
            <x14:dxf>
              <fill>
                <patternFill>
                  <bgColor theme="9"/>
                </patternFill>
              </fill>
            </x14:dxf>
          </x14:cfRule>
          <x14:cfRule type="containsText" priority="99" operator="containsText" id="{63FB0DD9-903B-4C61-97C7-03EAA0011E73}">
            <xm:f>NOT(ISERROR(SEARCH(#REF!,AJ74)))</xm:f>
            <xm:f>#REF!</xm:f>
            <x14:dxf>
              <fill>
                <patternFill>
                  <bgColor rgb="FFFFFF00"/>
                </patternFill>
              </fill>
            </x14:dxf>
          </x14:cfRule>
          <x14:cfRule type="containsText" priority="100" operator="containsText" id="{534EAB49-7F57-42A6-96B5-1A4FBA4266E8}">
            <xm:f>NOT(ISERROR(SEARCH(#REF!,AJ74)))</xm:f>
            <xm:f>#REF!</xm:f>
            <x14:dxf>
              <fill>
                <patternFill>
                  <bgColor theme="5"/>
                </patternFill>
              </fill>
            </x14:dxf>
          </x14:cfRule>
          <xm:sqref>AJ74:AK74 AM74 AP74:AP76</xm:sqref>
        </x14:conditionalFormatting>
        <x14:conditionalFormatting xmlns:xm="http://schemas.microsoft.com/office/excel/2006/main">
          <x14:cfRule type="containsText" priority="73" operator="containsText" id="{0BC11B76-C8D1-485A-BB8A-0984466DAB37}">
            <xm:f>NOT(ISERROR(SEARCH(#REF!,AM75)))</xm:f>
            <xm:f>#REF!</xm:f>
            <x14:dxf>
              <fill>
                <patternFill>
                  <bgColor theme="9"/>
                </patternFill>
              </fill>
            </x14:dxf>
          </x14:cfRule>
          <x14:cfRule type="containsText" priority="74" operator="containsText" id="{316E4EFB-E84F-4625-9741-2CE62245A186}">
            <xm:f>NOT(ISERROR(SEARCH(#REF!,AM75)))</xm:f>
            <xm:f>#REF!</xm:f>
            <x14:dxf>
              <fill>
                <patternFill>
                  <bgColor rgb="FFFFFF00"/>
                </patternFill>
              </fill>
            </x14:dxf>
          </x14:cfRule>
          <x14:cfRule type="containsText" priority="75" operator="containsText" id="{376FA17F-169D-4460-AC74-583C3DDA4F08}">
            <xm:f>NOT(ISERROR(SEARCH(#REF!,AM75)))</xm:f>
            <xm:f>#REF!</xm:f>
            <x14:dxf>
              <fill>
                <patternFill>
                  <bgColor theme="5"/>
                </patternFill>
              </fill>
            </x14:dxf>
          </x14:cfRule>
          <x14:cfRule type="containsText" priority="76" operator="containsText" id="{A7C780DD-D845-41B4-B2CF-923FF56801BC}">
            <xm:f>NOT(ISERROR(SEARCH(#REF!,AM75)))</xm:f>
            <xm:f>#REF!</xm:f>
            <x14:dxf>
              <fill>
                <patternFill>
                  <bgColor rgb="FFFF0000"/>
                </patternFill>
              </fill>
            </x14:dxf>
          </x14:cfRule>
          <xm:sqref>AM75:AM76</xm:sqref>
        </x14:conditionalFormatting>
        <x14:conditionalFormatting xmlns:xm="http://schemas.microsoft.com/office/excel/2006/main">
          <x14:cfRule type="containsText" priority="39" operator="containsText" id="{60798858-8B13-4F43-B3DB-672B9499EAF1}">
            <xm:f>NOT(ISERROR(SEARCH(#REF!,AH81)))</xm:f>
            <xm:f>#REF!</xm:f>
            <x14:dxf>
              <fill>
                <patternFill>
                  <bgColor theme="9"/>
                </patternFill>
              </fill>
            </x14:dxf>
          </x14:cfRule>
          <x14:cfRule type="containsText" priority="40" operator="containsText" id="{302ADDE7-4BF7-477B-A2A9-1C8826F7C3C7}">
            <xm:f>NOT(ISERROR(SEARCH(#REF!,AH81)))</xm:f>
            <xm:f>#REF!</xm:f>
            <x14:dxf>
              <fill>
                <patternFill>
                  <bgColor rgb="FFFFFF00"/>
                </patternFill>
              </fill>
            </x14:dxf>
          </x14:cfRule>
          <x14:cfRule type="containsText" priority="41" operator="containsText" id="{529FDE09-D07E-4F54-A069-2C1AB1B4380C}">
            <xm:f>NOT(ISERROR(SEARCH(#REF!,AH81)))</xm:f>
            <xm:f>#REF!</xm:f>
            <x14:dxf>
              <fill>
                <patternFill>
                  <bgColor theme="5"/>
                </patternFill>
              </fill>
            </x14:dxf>
          </x14:cfRule>
          <x14:cfRule type="containsText" priority="42" operator="containsText" id="{351FE3EB-FB1C-49DF-BC4D-2FABCE80103B}">
            <xm:f>NOT(ISERROR(SEARCH(#REF!,AH81)))</xm:f>
            <xm:f>#REF!</xm:f>
            <x14:dxf>
              <fill>
                <patternFill>
                  <bgColor rgb="FFFF0000"/>
                </patternFill>
              </fill>
            </x14:dxf>
          </x14:cfRule>
          <xm:sqref>AH81:AI81</xm:sqref>
        </x14:conditionalFormatting>
        <x14:conditionalFormatting xmlns:xm="http://schemas.microsoft.com/office/excel/2006/main">
          <x14:cfRule type="containsText" priority="34" operator="containsText" id="{45254AA8-66D2-4DDB-BA47-71BB0B354EF8}">
            <xm:f>NOT(ISERROR(SEARCH(#REF!,AP85)))</xm:f>
            <xm:f>#REF!</xm:f>
            <x14:dxf>
              <fill>
                <patternFill>
                  <bgColor rgb="FFC00000"/>
                </patternFill>
              </fill>
            </x14:dxf>
          </x14:cfRule>
          <x14:cfRule type="containsText" priority="35" operator="containsText" id="{7D279C4F-572C-4E27-9CDC-37B154749F0D}">
            <xm:f>NOT(ISERROR(SEARCH(#REF!,AP85)))</xm:f>
            <xm:f>#REF!</xm:f>
            <x14:dxf>
              <fill>
                <patternFill>
                  <bgColor theme="9" tint="0.39994506668294322"/>
                </patternFill>
              </fill>
            </x14:dxf>
          </x14:cfRule>
          <x14:cfRule type="containsText" priority="36" operator="containsText" id="{E7663A6F-C0BD-4937-A29C-AA860534F92B}">
            <xm:f>NOT(ISERROR(SEARCH(#REF!,AP85)))</xm:f>
            <xm:f>#REF!</xm:f>
            <x14:dxf>
              <fill>
                <patternFill>
                  <bgColor theme="9"/>
                </patternFill>
              </fill>
            </x14:dxf>
          </x14:cfRule>
          <x14:cfRule type="containsText" priority="37" operator="containsText" id="{23F978D8-B485-4277-8CC4-5034FF6B92CA}">
            <xm:f>NOT(ISERROR(SEARCH(#REF!,AP85)))</xm:f>
            <xm:f>#REF!</xm:f>
            <x14:dxf>
              <fill>
                <patternFill>
                  <bgColor rgb="FFFFFF00"/>
                </patternFill>
              </fill>
            </x14:dxf>
          </x14:cfRule>
          <x14:cfRule type="containsText" priority="38" operator="containsText" id="{24985137-FDDA-4073-AF86-DA3132967B2E}">
            <xm:f>NOT(ISERROR(SEARCH(#REF!,AP85)))</xm:f>
            <xm:f>#REF!</xm:f>
            <x14:dxf>
              <fill>
                <patternFill>
                  <bgColor theme="5"/>
                </patternFill>
              </fill>
            </x14:dxf>
          </x14:cfRule>
          <xm:sqref>AP85 AP87 AP89 AP91 AP93 AP95 AP97 AP99</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r:uid="{12C9FAB3-7388-4F5F-83D4-3B3D139A039C}">
          <x14:formula1>
            <xm:f>Sheet1!$A$2:$A$5</xm:f>
          </x14:formula1>
          <xm:sqref>C108:C275 C3:C61</xm:sqref>
        </x14:dataValidation>
        <x14:dataValidation type="list" allowBlank="1" showInputMessage="1" showErrorMessage="1" xr:uid="{23826746-E087-4FCD-A881-5266476BCCC3}">
          <x14:formula1>
            <xm:f>Sheet1!$D$1:$L$1</xm:f>
          </x14:formula1>
          <xm:sqref>C117 D100:D116 D118:D275 D3:D61</xm:sqref>
        </x14:dataValidation>
        <x14:dataValidation type="list" allowBlank="1" showInputMessage="1" showErrorMessage="1" xr:uid="{6FD8AF75-9451-4886-9AA7-50DE6AAE8911}">
          <x14:formula1>
            <xm:f>Sheet1!$A$25:$A$28</xm:f>
          </x14:formula1>
          <xm:sqref>O100:O275 O3:O61</xm:sqref>
        </x14:dataValidation>
        <x14:dataValidation type="list" allowBlank="1" showInputMessage="1" showErrorMessage="1" xr:uid="{A3B0A6A6-A44E-4523-AD99-E926A798DB78}">
          <x14:formula1>
            <xm:f>Sheet1!$B$33:$B$37</xm:f>
          </x14:formula1>
          <xm:sqref>AU100:AU275 AU8:AU61</xm:sqref>
        </x14:dataValidation>
        <x14:dataValidation type="list" allowBlank="1" showInputMessage="1" showErrorMessage="1" xr:uid="{3C3E23ED-1E54-427B-AD6C-7868DEFD8E2A}">
          <x14:formula1>
            <xm:f>INDEX(Sheet1!$D$2:$L$20,,MATCH($D3,Sheet1!$D$1:$L$1,0))</xm:f>
          </x14:formula1>
          <xm:sqref>E108:E116 E118:E275 E3:E61</xm:sqref>
        </x14:dataValidation>
        <x14:dataValidation type="list" allowBlank="1" showInputMessage="1" showErrorMessage="1" xr:uid="{F5974522-4439-4960-A292-97F3FD1BD528}">
          <x14:formula1>
            <xm:f>Sheet1!$M$2:$M$5</xm:f>
          </x14:formula1>
          <xm:sqref>AQ100:AQ275 AQ8:AQ61</xm:sqref>
        </x14:dataValidation>
        <x14:dataValidation type="list" allowBlank="1" showInputMessage="1" showErrorMessage="1" xr:uid="{98B4405E-B6BD-4C55-BFE9-4B8E7EE18E86}">
          <x14:formula1>
            <xm:f>Sheet1!$D$25:$D$29</xm:f>
          </x14:formula1>
          <xm:sqref>R108:T275 U100:Z275 AM100:AM275 AC100:AC275 AH100:AI275 R3:Z61 AC3:AC61 AM3:AM61 AH3:AI61</xm:sqref>
        </x14:dataValidation>
        <x14:dataValidation type="list" allowBlank="1" showInputMessage="1" showErrorMessage="1" xr:uid="{DB5718C5-8468-428C-9614-2359C5966F71}">
          <x14:formula1>
            <xm:f>Sheet1!$C$25:$C$29</xm:f>
          </x14:formula1>
          <xm:sqref>AG100:AG275 AG3:AG61</xm:sqref>
        </x14:dataValidation>
        <x14:dataValidation type="list" allowBlank="1" showInputMessage="1" showErrorMessage="1" xr:uid="{AE01A187-FDA7-44EA-B304-EAEFCE84897E}">
          <x14:formula1>
            <xm:f>Sheet1!$C$2:$C$9</xm:f>
          </x14:formula1>
          <xm:sqref>G114:G1048576</xm:sqref>
        </x14:dataValidation>
        <x14:dataValidation type="list" allowBlank="1" showInputMessage="1" showErrorMessage="1" xr:uid="{874C4026-F317-495E-B84C-CF3D0650CDCC}">
          <x14:formula1>
            <xm:f>INDEX(Sheet1!$D$2:$L$20,,MATCH(#REF!,Sheet1!$D$1:$L$1,0))</xm:f>
          </x14:formula1>
          <xm:sqref>E117</xm:sqref>
        </x14:dataValidation>
        <x14:dataValidation type="list" allowBlank="1" showInputMessage="1" showErrorMessage="1" xr:uid="{59DB00DE-7259-4214-A1DA-FECB1826F630}">
          <x14:formula1>
            <xm:f>Sheet1!$C$2:$C$10</xm:f>
          </x14:formula1>
          <xm:sqref>G3:G113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37"/>
  <sheetViews>
    <sheetView zoomScaleNormal="100" workbookViewId="0">
      <selection activeCell="C10" sqref="C10"/>
    </sheetView>
  </sheetViews>
  <sheetFormatPr defaultRowHeight="14.25" x14ac:dyDescent="0.2"/>
  <cols>
    <col min="1" max="1" width="10.75" bestFit="1" customWidth="1"/>
    <col min="2" max="2" width="32.375" bestFit="1" customWidth="1"/>
    <col min="3" max="3" width="24.875" bestFit="1" customWidth="1"/>
    <col min="4" max="4" width="26.125" bestFit="1" customWidth="1"/>
    <col min="5" max="5" width="21.375" bestFit="1" customWidth="1"/>
    <col min="6" max="6" width="29.375" customWidth="1"/>
    <col min="7" max="7" width="20.375" customWidth="1"/>
    <col min="8" max="8" width="18.375" customWidth="1"/>
    <col min="9" max="9" width="14.25" customWidth="1"/>
    <col min="10" max="10" width="19.875" customWidth="1"/>
    <col min="11" max="11" width="20.25" customWidth="1"/>
    <col min="12" max="12" width="21.75" bestFit="1" customWidth="1"/>
    <col min="13" max="13" width="18" bestFit="1" customWidth="1"/>
  </cols>
  <sheetData>
    <row r="1" spans="1:13" ht="15" x14ac:dyDescent="0.25">
      <c r="A1" s="1" t="s">
        <v>2</v>
      </c>
      <c r="B1" s="1" t="s">
        <v>3</v>
      </c>
      <c r="C1" s="1" t="s">
        <v>6</v>
      </c>
      <c r="D1" s="1" t="s">
        <v>17</v>
      </c>
      <c r="E1" s="1" t="s">
        <v>417</v>
      </c>
      <c r="F1" s="1" t="s">
        <v>226</v>
      </c>
      <c r="G1" s="1" t="s">
        <v>348</v>
      </c>
      <c r="H1" s="1" t="s">
        <v>25</v>
      </c>
      <c r="I1" s="1" t="s">
        <v>142</v>
      </c>
      <c r="J1" s="1" t="s">
        <v>19</v>
      </c>
      <c r="K1" s="1" t="s">
        <v>185</v>
      </c>
      <c r="L1" s="1" t="s">
        <v>320</v>
      </c>
      <c r="M1" s="1" t="s">
        <v>34</v>
      </c>
    </row>
    <row r="2" spans="1:13" x14ac:dyDescent="0.2">
      <c r="A2" t="s">
        <v>25</v>
      </c>
      <c r="B2" t="s">
        <v>17</v>
      </c>
      <c r="C2" t="s">
        <v>1066</v>
      </c>
      <c r="D2" t="s">
        <v>1067</v>
      </c>
      <c r="E2" t="s">
        <v>1068</v>
      </c>
      <c r="F2" t="s">
        <v>1069</v>
      </c>
      <c r="G2" t="s">
        <v>1070</v>
      </c>
      <c r="H2" t="s">
        <v>1071</v>
      </c>
      <c r="I2" t="s">
        <v>174</v>
      </c>
      <c r="J2" t="s">
        <v>397</v>
      </c>
      <c r="K2" t="s">
        <v>1072</v>
      </c>
      <c r="L2" t="s">
        <v>1073</v>
      </c>
      <c r="M2" t="s">
        <v>515</v>
      </c>
    </row>
    <row r="3" spans="1:13" x14ac:dyDescent="0.2">
      <c r="A3" t="s">
        <v>18</v>
      </c>
      <c r="B3" t="s">
        <v>226</v>
      </c>
      <c r="C3" t="s">
        <v>131</v>
      </c>
      <c r="D3" t="s">
        <v>1074</v>
      </c>
      <c r="E3" t="s">
        <v>434</v>
      </c>
      <c r="F3" t="s">
        <v>335</v>
      </c>
      <c r="G3" t="s">
        <v>1075</v>
      </c>
      <c r="H3" t="s">
        <v>872</v>
      </c>
      <c r="I3" t="s">
        <v>277</v>
      </c>
      <c r="J3" t="s">
        <v>155</v>
      </c>
      <c r="K3" t="s">
        <v>1046</v>
      </c>
      <c r="L3" t="s">
        <v>1076</v>
      </c>
      <c r="M3" t="s">
        <v>1077</v>
      </c>
    </row>
    <row r="4" spans="1:13" x14ac:dyDescent="0.2">
      <c r="A4" t="s">
        <v>17</v>
      </c>
      <c r="B4" t="s">
        <v>19</v>
      </c>
      <c r="C4" t="s">
        <v>458</v>
      </c>
      <c r="D4" t="s">
        <v>1078</v>
      </c>
      <c r="E4" t="s">
        <v>1079</v>
      </c>
      <c r="F4" t="s">
        <v>328</v>
      </c>
      <c r="G4" t="s">
        <v>1080</v>
      </c>
      <c r="H4" t="s">
        <v>1081</v>
      </c>
      <c r="I4" t="s">
        <v>1082</v>
      </c>
      <c r="J4" t="s">
        <v>1083</v>
      </c>
      <c r="K4" t="s">
        <v>1084</v>
      </c>
      <c r="L4" t="s">
        <v>321</v>
      </c>
      <c r="M4" t="s">
        <v>89</v>
      </c>
    </row>
    <row r="5" spans="1:13" x14ac:dyDescent="0.2">
      <c r="A5" t="s">
        <v>164</v>
      </c>
      <c r="B5" t="s">
        <v>20</v>
      </c>
      <c r="C5" t="s">
        <v>992</v>
      </c>
      <c r="D5" t="s">
        <v>1085</v>
      </c>
      <c r="E5" t="s">
        <v>1086</v>
      </c>
      <c r="F5" t="s">
        <v>1087</v>
      </c>
      <c r="G5" t="s">
        <v>1088</v>
      </c>
      <c r="H5" t="s">
        <v>1089</v>
      </c>
      <c r="I5" t="s">
        <v>284</v>
      </c>
      <c r="J5" t="s">
        <v>1090</v>
      </c>
      <c r="K5" t="s">
        <v>1091</v>
      </c>
      <c r="L5" t="s">
        <v>1092</v>
      </c>
      <c r="M5" t="s">
        <v>629</v>
      </c>
    </row>
    <row r="6" spans="1:13" x14ac:dyDescent="0.2">
      <c r="A6" t="s">
        <v>1093</v>
      </c>
      <c r="B6" t="s">
        <v>1094</v>
      </c>
      <c r="C6" t="s">
        <v>420</v>
      </c>
      <c r="D6" t="s">
        <v>1095</v>
      </c>
      <c r="E6" t="s">
        <v>1096</v>
      </c>
      <c r="F6" t="s">
        <v>1097</v>
      </c>
      <c r="G6" t="s">
        <v>1098</v>
      </c>
      <c r="H6" t="s">
        <v>1099</v>
      </c>
      <c r="I6" t="s">
        <v>270</v>
      </c>
      <c r="J6" t="s">
        <v>1100</v>
      </c>
      <c r="K6" t="s">
        <v>129</v>
      </c>
      <c r="L6" t="s">
        <v>1101</v>
      </c>
    </row>
    <row r="7" spans="1:13" x14ac:dyDescent="0.2">
      <c r="B7" t="s">
        <v>22</v>
      </c>
      <c r="C7" t="s">
        <v>860</v>
      </c>
      <c r="D7" t="s">
        <v>1102</v>
      </c>
      <c r="E7" t="s">
        <v>1103</v>
      </c>
      <c r="F7" t="s">
        <v>1104</v>
      </c>
      <c r="G7" t="s">
        <v>1105</v>
      </c>
      <c r="H7" t="s">
        <v>1106</v>
      </c>
      <c r="I7" t="s">
        <v>143</v>
      </c>
      <c r="J7" t="s">
        <v>364</v>
      </c>
      <c r="K7" t="s">
        <v>1107</v>
      </c>
    </row>
    <row r="8" spans="1:13" x14ac:dyDescent="0.2">
      <c r="B8" t="s">
        <v>23</v>
      </c>
      <c r="C8" t="s">
        <v>308</v>
      </c>
      <c r="D8" t="s">
        <v>1108</v>
      </c>
      <c r="E8" t="s">
        <v>1109</v>
      </c>
      <c r="F8" t="s">
        <v>1110</v>
      </c>
      <c r="G8" t="s">
        <v>1111</v>
      </c>
      <c r="H8" t="s">
        <v>1112</v>
      </c>
      <c r="J8" t="s">
        <v>385</v>
      </c>
      <c r="K8" t="s">
        <v>544</v>
      </c>
    </row>
    <row r="9" spans="1:13" x14ac:dyDescent="0.2">
      <c r="B9" t="s">
        <v>24</v>
      </c>
      <c r="C9" t="s">
        <v>566</v>
      </c>
      <c r="D9" t="s">
        <v>1113</v>
      </c>
      <c r="E9" t="s">
        <v>1114</v>
      </c>
      <c r="F9" t="s">
        <v>892</v>
      </c>
      <c r="G9" t="s">
        <v>1115</v>
      </c>
      <c r="H9" t="s">
        <v>1116</v>
      </c>
      <c r="K9" t="s">
        <v>1117</v>
      </c>
    </row>
    <row r="10" spans="1:13" x14ac:dyDescent="0.2">
      <c r="B10" t="s">
        <v>25</v>
      </c>
      <c r="C10" t="s">
        <v>518</v>
      </c>
      <c r="D10" t="s">
        <v>1118</v>
      </c>
      <c r="E10" t="s">
        <v>1119</v>
      </c>
      <c r="F10" t="s">
        <v>1120</v>
      </c>
      <c r="G10" t="s">
        <v>1121</v>
      </c>
      <c r="H10" t="s">
        <v>1122</v>
      </c>
      <c r="K10" t="s">
        <v>1123</v>
      </c>
    </row>
    <row r="11" spans="1:13" x14ac:dyDescent="0.2">
      <c r="D11" t="s">
        <v>105</v>
      </c>
      <c r="E11" t="s">
        <v>1124</v>
      </c>
      <c r="F11" t="s">
        <v>564</v>
      </c>
      <c r="G11" t="s">
        <v>349</v>
      </c>
      <c r="H11" t="s">
        <v>1125</v>
      </c>
      <c r="K11" t="s">
        <v>1126</v>
      </c>
    </row>
    <row r="12" spans="1:13" x14ac:dyDescent="0.2">
      <c r="D12" t="s">
        <v>1127</v>
      </c>
      <c r="E12" t="s">
        <v>166</v>
      </c>
      <c r="F12" t="s">
        <v>1128</v>
      </c>
      <c r="G12" t="s">
        <v>1129</v>
      </c>
      <c r="H12" t="s">
        <v>1130</v>
      </c>
      <c r="K12" t="s">
        <v>579</v>
      </c>
    </row>
    <row r="13" spans="1:13" x14ac:dyDescent="0.2">
      <c r="D13" t="s">
        <v>1131</v>
      </c>
      <c r="E13" t="s">
        <v>1132</v>
      </c>
      <c r="F13" t="s">
        <v>930</v>
      </c>
      <c r="G13" t="s">
        <v>1133</v>
      </c>
      <c r="H13" t="s">
        <v>1134</v>
      </c>
      <c r="K13" t="s">
        <v>1135</v>
      </c>
    </row>
    <row r="14" spans="1:13" x14ac:dyDescent="0.2">
      <c r="D14" t="s">
        <v>952</v>
      </c>
      <c r="E14" t="s">
        <v>1136</v>
      </c>
      <c r="F14" t="s">
        <v>241</v>
      </c>
      <c r="G14" t="s">
        <v>1137</v>
      </c>
      <c r="H14" t="s">
        <v>1138</v>
      </c>
      <c r="K14" t="s">
        <v>1139</v>
      </c>
    </row>
    <row r="15" spans="1:13" x14ac:dyDescent="0.2">
      <c r="D15" t="s">
        <v>1140</v>
      </c>
      <c r="E15" t="s">
        <v>448</v>
      </c>
      <c r="F15" t="s">
        <v>227</v>
      </c>
      <c r="H15" t="s">
        <v>1141</v>
      </c>
      <c r="K15" t="s">
        <v>1142</v>
      </c>
    </row>
    <row r="16" spans="1:13" x14ac:dyDescent="0.2">
      <c r="D16" t="s">
        <v>1143</v>
      </c>
      <c r="E16" t="s">
        <v>1144</v>
      </c>
      <c r="F16" t="s">
        <v>500</v>
      </c>
      <c r="H16" t="s">
        <v>307</v>
      </c>
      <c r="K16" t="s">
        <v>1145</v>
      </c>
    </row>
    <row r="17" spans="1:11" x14ac:dyDescent="0.2">
      <c r="D17" t="s">
        <v>95</v>
      </c>
      <c r="E17" t="s">
        <v>1146</v>
      </c>
      <c r="F17" t="s">
        <v>518</v>
      </c>
      <c r="K17" t="s">
        <v>726</v>
      </c>
    </row>
    <row r="18" spans="1:11" x14ac:dyDescent="0.2">
      <c r="D18" t="s">
        <v>1147</v>
      </c>
      <c r="E18" t="s">
        <v>1148</v>
      </c>
      <c r="F18" t="s">
        <v>1149</v>
      </c>
      <c r="K18" t="s">
        <v>773</v>
      </c>
    </row>
    <row r="19" spans="1:11" x14ac:dyDescent="0.2">
      <c r="E19" t="s">
        <v>1150</v>
      </c>
      <c r="K19" t="s">
        <v>186</v>
      </c>
    </row>
    <row r="20" spans="1:11" x14ac:dyDescent="0.2">
      <c r="E20" t="s">
        <v>1151</v>
      </c>
    </row>
    <row r="24" spans="1:11" ht="15" x14ac:dyDescent="0.25">
      <c r="A24" s="1" t="s">
        <v>1152</v>
      </c>
      <c r="C24" t="s">
        <v>1153</v>
      </c>
      <c r="D24" t="s">
        <v>1154</v>
      </c>
    </row>
    <row r="25" spans="1:11" x14ac:dyDescent="0.2">
      <c r="A25" t="s">
        <v>85</v>
      </c>
      <c r="C25" t="s">
        <v>1155</v>
      </c>
      <c r="D25">
        <v>1</v>
      </c>
    </row>
    <row r="26" spans="1:11" x14ac:dyDescent="0.2">
      <c r="A26" t="s">
        <v>125</v>
      </c>
      <c r="C26" t="s">
        <v>1156</v>
      </c>
      <c r="D26">
        <v>2</v>
      </c>
    </row>
    <row r="27" spans="1:11" x14ac:dyDescent="0.2">
      <c r="A27" t="s">
        <v>180</v>
      </c>
      <c r="C27" t="s">
        <v>150</v>
      </c>
      <c r="D27">
        <v>3</v>
      </c>
    </row>
    <row r="28" spans="1:11" x14ac:dyDescent="0.2">
      <c r="A28" t="s">
        <v>265</v>
      </c>
      <c r="C28" t="s">
        <v>315</v>
      </c>
      <c r="D28">
        <v>4</v>
      </c>
    </row>
    <row r="29" spans="1:11" x14ac:dyDescent="0.2">
      <c r="C29" t="s">
        <v>88</v>
      </c>
      <c r="D29">
        <v>5</v>
      </c>
    </row>
    <row r="32" spans="1:11" ht="15" x14ac:dyDescent="0.25">
      <c r="B32" s="1" t="s">
        <v>38</v>
      </c>
    </row>
    <row r="33" spans="2:2" x14ac:dyDescent="0.2">
      <c r="B33" t="s">
        <v>256</v>
      </c>
    </row>
    <row r="34" spans="2:2" x14ac:dyDescent="0.2">
      <c r="B34" t="s">
        <v>102</v>
      </c>
    </row>
    <row r="35" spans="2:2" x14ac:dyDescent="0.2">
      <c r="B35" t="s">
        <v>140</v>
      </c>
    </row>
    <row r="36" spans="2:2" x14ac:dyDescent="0.2">
      <c r="B36" t="s">
        <v>1157</v>
      </c>
    </row>
    <row r="37" spans="2:2" x14ac:dyDescent="0.2">
      <c r="B37" t="s">
        <v>161</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675B7-26C6-4356-96A1-47D2BEC05F66}">
  <dimension ref="A1:H50"/>
  <sheetViews>
    <sheetView topLeftCell="A25" zoomScale="80" zoomScaleNormal="80" workbookViewId="0">
      <selection activeCell="F23" sqref="F23"/>
    </sheetView>
  </sheetViews>
  <sheetFormatPr defaultColWidth="27.125" defaultRowHeight="14.25" x14ac:dyDescent="0.2"/>
  <cols>
    <col min="1" max="1" width="26.75" customWidth="1"/>
    <col min="2" max="6" width="36.75" customWidth="1"/>
  </cols>
  <sheetData>
    <row r="1" spans="1:8" ht="15" x14ac:dyDescent="0.2">
      <c r="A1" s="3"/>
      <c r="B1" s="3"/>
      <c r="C1" s="3"/>
      <c r="D1" s="3"/>
      <c r="E1" s="3"/>
      <c r="F1" s="3"/>
      <c r="G1" s="3"/>
      <c r="H1" s="3"/>
    </row>
    <row r="2" spans="1:8" ht="26.25" hidden="1" thickBot="1" x14ac:dyDescent="0.4">
      <c r="A2" s="4"/>
      <c r="B2" s="5"/>
      <c r="C2" s="5"/>
      <c r="D2" s="6"/>
      <c r="E2" s="6"/>
      <c r="F2" s="6"/>
      <c r="G2" s="6"/>
      <c r="H2" s="3"/>
    </row>
    <row r="3" spans="1:8" ht="27" hidden="1" thickBot="1" x14ac:dyDescent="0.4">
      <c r="A3" s="7"/>
      <c r="B3" s="8"/>
      <c r="C3" s="8"/>
      <c r="D3" s="6"/>
      <c r="E3" s="6"/>
      <c r="F3" s="6"/>
      <c r="G3" s="6"/>
      <c r="H3" s="3"/>
    </row>
    <row r="4" spans="1:8" ht="27" hidden="1" thickBot="1" x14ac:dyDescent="0.4">
      <c r="A4" s="7"/>
      <c r="B4" s="8"/>
      <c r="C4" s="8"/>
      <c r="D4" s="6"/>
      <c r="E4" s="6"/>
      <c r="F4" s="6"/>
      <c r="G4" s="6"/>
      <c r="H4" s="3"/>
    </row>
    <row r="5" spans="1:8" ht="27" hidden="1" thickBot="1" x14ac:dyDescent="0.4">
      <c r="A5" s="7"/>
      <c r="B5" s="8"/>
      <c r="C5" s="8"/>
      <c r="D5" s="6"/>
      <c r="E5" s="6"/>
      <c r="F5" s="6"/>
      <c r="G5" s="6"/>
      <c r="H5" s="3"/>
    </row>
    <row r="6" spans="1:8" ht="27" hidden="1" thickBot="1" x14ac:dyDescent="0.4">
      <c r="A6" s="7"/>
      <c r="B6" s="8"/>
      <c r="C6" s="8"/>
      <c r="D6" s="6"/>
      <c r="E6" s="6"/>
      <c r="F6" s="6"/>
      <c r="G6" s="6"/>
      <c r="H6" s="3"/>
    </row>
    <row r="7" spans="1:8" ht="27" hidden="1" thickBot="1" x14ac:dyDescent="0.4">
      <c r="A7" s="7"/>
      <c r="B7" s="8"/>
      <c r="C7" s="8"/>
      <c r="D7" s="6"/>
      <c r="E7" s="6"/>
      <c r="F7" s="6"/>
      <c r="G7" s="6"/>
      <c r="H7" s="3"/>
    </row>
    <row r="8" spans="1:8" ht="25.5" hidden="1" x14ac:dyDescent="0.35">
      <c r="A8" s="6"/>
      <c r="B8" s="6"/>
      <c r="C8" s="6"/>
      <c r="D8" s="6"/>
      <c r="E8" s="6"/>
      <c r="F8" s="6"/>
      <c r="G8" s="6"/>
      <c r="H8" s="3"/>
    </row>
    <row r="9" spans="1:8" ht="14.45" hidden="1" customHeight="1" x14ac:dyDescent="0.35">
      <c r="A9" s="166"/>
      <c r="B9" s="9"/>
      <c r="C9" s="9"/>
      <c r="D9" s="10"/>
      <c r="E9" s="9"/>
      <c r="F9" s="9"/>
      <c r="G9" s="6"/>
      <c r="H9" s="3"/>
    </row>
    <row r="10" spans="1:8" ht="26.25" hidden="1" thickBot="1" x14ac:dyDescent="0.4">
      <c r="A10" s="167"/>
      <c r="B10" s="11"/>
      <c r="C10" s="11"/>
      <c r="D10" s="12"/>
      <c r="E10" s="11"/>
      <c r="F10" s="11"/>
      <c r="G10" s="6"/>
      <c r="H10" s="3"/>
    </row>
    <row r="11" spans="1:8" ht="27" hidden="1" thickBot="1" x14ac:dyDescent="0.4">
      <c r="A11" s="7"/>
      <c r="B11" s="8"/>
      <c r="C11" s="13"/>
      <c r="D11" s="8"/>
      <c r="E11" s="8"/>
      <c r="F11" s="8"/>
      <c r="G11" s="6"/>
      <c r="H11" s="3"/>
    </row>
    <row r="12" spans="1:8" ht="27" hidden="1" thickBot="1" x14ac:dyDescent="0.4">
      <c r="A12" s="7"/>
      <c r="B12" s="8"/>
      <c r="C12" s="13"/>
      <c r="D12" s="8"/>
      <c r="E12" s="8"/>
      <c r="F12" s="8"/>
      <c r="G12" s="6"/>
      <c r="H12" s="3"/>
    </row>
    <row r="13" spans="1:8" ht="27" hidden="1" thickBot="1" x14ac:dyDescent="0.4">
      <c r="A13" s="7"/>
      <c r="B13" s="8"/>
      <c r="C13" s="13"/>
      <c r="D13" s="8"/>
      <c r="E13" s="8"/>
      <c r="F13" s="8"/>
      <c r="G13" s="6"/>
      <c r="H13" s="3"/>
    </row>
    <row r="14" spans="1:8" ht="27" hidden="1" thickBot="1" x14ac:dyDescent="0.4">
      <c r="A14" s="7"/>
      <c r="B14" s="8"/>
      <c r="C14" s="13"/>
      <c r="D14" s="8"/>
      <c r="E14" s="8"/>
      <c r="F14" s="8"/>
      <c r="G14" s="6"/>
      <c r="H14" s="3"/>
    </row>
    <row r="15" spans="1:8" ht="27" hidden="1" thickBot="1" x14ac:dyDescent="0.4">
      <c r="A15" s="7"/>
      <c r="B15" s="8"/>
      <c r="C15" s="13"/>
      <c r="D15" s="8"/>
      <c r="E15" s="8"/>
      <c r="F15" s="8"/>
      <c r="G15" s="6"/>
      <c r="H15" s="3"/>
    </row>
    <row r="16" spans="1:8" ht="27" hidden="1" thickBot="1" x14ac:dyDescent="0.4">
      <c r="A16" s="7"/>
      <c r="B16" s="14"/>
      <c r="C16" s="13"/>
      <c r="D16" s="13"/>
      <c r="E16" s="13"/>
      <c r="F16" s="13"/>
      <c r="G16" s="6"/>
      <c r="H16" s="3"/>
    </row>
    <row r="17" spans="1:8" ht="25.5" hidden="1" x14ac:dyDescent="0.35">
      <c r="A17" s="6"/>
      <c r="B17" s="6"/>
      <c r="C17" s="6"/>
      <c r="D17" s="6"/>
      <c r="E17" s="6"/>
      <c r="F17" s="6"/>
      <c r="G17" s="6"/>
      <c r="H17" s="3"/>
    </row>
    <row r="18" spans="1:8" ht="25.5" hidden="1" x14ac:dyDescent="0.35">
      <c r="A18" s="6"/>
      <c r="B18" s="6"/>
      <c r="C18" s="6"/>
      <c r="D18" s="6"/>
      <c r="E18" s="6"/>
      <c r="F18" s="6"/>
      <c r="G18" s="6"/>
      <c r="H18" s="3"/>
    </row>
    <row r="19" spans="1:8" ht="26.25" thickBot="1" x14ac:dyDescent="0.4">
      <c r="A19" s="6"/>
      <c r="B19" s="6"/>
      <c r="C19" s="6"/>
      <c r="D19" s="6"/>
      <c r="E19" s="6"/>
      <c r="F19" s="6"/>
      <c r="G19" s="6"/>
      <c r="H19" s="3"/>
    </row>
    <row r="20" spans="1:8" ht="26.25" thickBot="1" x14ac:dyDescent="0.4">
      <c r="A20" s="15"/>
      <c r="B20" s="16" t="s">
        <v>295</v>
      </c>
      <c r="C20" s="16" t="s">
        <v>118</v>
      </c>
      <c r="D20" s="16" t="s">
        <v>109</v>
      </c>
      <c r="E20" s="16" t="s">
        <v>87</v>
      </c>
      <c r="F20" s="17" t="s">
        <v>100</v>
      </c>
      <c r="G20" s="6"/>
      <c r="H20" s="3"/>
    </row>
    <row r="21" spans="1:8" ht="26.25" thickBot="1" x14ac:dyDescent="0.4">
      <c r="A21" s="18" t="s">
        <v>1158</v>
      </c>
      <c r="B21" s="19" t="s">
        <v>295</v>
      </c>
      <c r="C21" s="20" t="s">
        <v>109</v>
      </c>
      <c r="D21" s="21" t="s">
        <v>87</v>
      </c>
      <c r="E21" s="22" t="s">
        <v>100</v>
      </c>
      <c r="F21" s="22" t="s">
        <v>100</v>
      </c>
      <c r="G21" s="6"/>
      <c r="H21" s="3"/>
    </row>
    <row r="22" spans="1:8" ht="26.25" thickBot="1" x14ac:dyDescent="0.4">
      <c r="A22" s="18" t="s">
        <v>87</v>
      </c>
      <c r="B22" s="19" t="s">
        <v>295</v>
      </c>
      <c r="C22" s="23" t="s">
        <v>118</v>
      </c>
      <c r="D22" s="20" t="s">
        <v>109</v>
      </c>
      <c r="E22" s="21" t="s">
        <v>87</v>
      </c>
      <c r="F22" s="22" t="s">
        <v>100</v>
      </c>
      <c r="G22" s="6"/>
      <c r="H22" s="3"/>
    </row>
    <row r="23" spans="1:8" ht="26.25" thickBot="1" x14ac:dyDescent="0.4">
      <c r="A23" s="18" t="s">
        <v>109</v>
      </c>
      <c r="B23" s="19" t="s">
        <v>295</v>
      </c>
      <c r="C23" s="19" t="s">
        <v>295</v>
      </c>
      <c r="D23" s="23" t="s">
        <v>118</v>
      </c>
      <c r="E23" s="20" t="s">
        <v>109</v>
      </c>
      <c r="F23" s="21" t="s">
        <v>87</v>
      </c>
      <c r="G23" s="6"/>
      <c r="H23" s="3"/>
    </row>
    <row r="24" spans="1:8" ht="26.25" thickBot="1" x14ac:dyDescent="0.4">
      <c r="A24" s="18" t="s">
        <v>118</v>
      </c>
      <c r="B24" s="19" t="s">
        <v>295</v>
      </c>
      <c r="C24" s="19" t="s">
        <v>295</v>
      </c>
      <c r="D24" s="19" t="s">
        <v>295</v>
      </c>
      <c r="E24" s="23" t="s">
        <v>118</v>
      </c>
      <c r="F24" s="20" t="s">
        <v>109</v>
      </c>
      <c r="G24" s="6"/>
      <c r="H24" s="3"/>
    </row>
    <row r="25" spans="1:8" ht="26.25" thickBot="1" x14ac:dyDescent="0.4">
      <c r="A25" s="18" t="s">
        <v>1159</v>
      </c>
      <c r="B25" s="19" t="s">
        <v>295</v>
      </c>
      <c r="C25" s="19" t="s">
        <v>295</v>
      </c>
      <c r="D25" s="19" t="s">
        <v>295</v>
      </c>
      <c r="E25" s="19" t="s">
        <v>295</v>
      </c>
      <c r="F25" s="19" t="s">
        <v>295</v>
      </c>
      <c r="G25" s="6"/>
      <c r="H25" s="3"/>
    </row>
    <row r="26" spans="1:8" ht="25.5" x14ac:dyDescent="0.35">
      <c r="A26" s="6"/>
      <c r="B26" s="6"/>
      <c r="C26" s="6"/>
      <c r="D26" s="6"/>
      <c r="E26" s="6"/>
      <c r="F26" s="6"/>
      <c r="G26" s="6"/>
      <c r="H26" s="3"/>
    </row>
    <row r="27" spans="1:8" ht="26.25" thickBot="1" x14ac:dyDescent="0.4">
      <c r="A27" s="6"/>
      <c r="B27" s="6"/>
      <c r="C27" s="6"/>
      <c r="D27" s="6"/>
      <c r="E27" s="6"/>
      <c r="F27" s="6"/>
      <c r="G27" s="6"/>
      <c r="H27" s="3"/>
    </row>
    <row r="28" spans="1:8" ht="26.25" thickBot="1" x14ac:dyDescent="0.4">
      <c r="A28" s="15"/>
      <c r="B28" s="24" t="s">
        <v>295</v>
      </c>
      <c r="C28" s="24" t="s">
        <v>118</v>
      </c>
      <c r="D28" s="24" t="s">
        <v>109</v>
      </c>
      <c r="E28" s="24" t="s">
        <v>87</v>
      </c>
      <c r="F28" s="25" t="s">
        <v>100</v>
      </c>
      <c r="G28" s="6"/>
      <c r="H28" s="3"/>
    </row>
    <row r="29" spans="1:8" ht="26.25" thickBot="1" x14ac:dyDescent="0.4">
      <c r="A29" s="18" t="s">
        <v>1158</v>
      </c>
      <c r="B29" s="19">
        <v>5</v>
      </c>
      <c r="C29" s="20">
        <v>10</v>
      </c>
      <c r="D29" s="21">
        <v>15</v>
      </c>
      <c r="E29" s="22">
        <v>20</v>
      </c>
      <c r="F29" s="22">
        <v>25</v>
      </c>
      <c r="G29" s="6"/>
      <c r="H29" s="3"/>
    </row>
    <row r="30" spans="1:8" ht="26.25" thickBot="1" x14ac:dyDescent="0.4">
      <c r="A30" s="18" t="s">
        <v>87</v>
      </c>
      <c r="B30" s="19">
        <v>4</v>
      </c>
      <c r="C30" s="23">
        <v>8</v>
      </c>
      <c r="D30" s="20">
        <v>12</v>
      </c>
      <c r="E30" s="21">
        <v>16</v>
      </c>
      <c r="F30" s="22">
        <v>20</v>
      </c>
      <c r="G30" s="6"/>
      <c r="H30" s="3"/>
    </row>
    <row r="31" spans="1:8" ht="26.25" thickBot="1" x14ac:dyDescent="0.4">
      <c r="A31" s="18" t="s">
        <v>109</v>
      </c>
      <c r="B31" s="19">
        <v>3</v>
      </c>
      <c r="C31" s="19">
        <v>6</v>
      </c>
      <c r="D31" s="23">
        <v>9</v>
      </c>
      <c r="E31" s="20">
        <v>12</v>
      </c>
      <c r="F31" s="21">
        <v>15</v>
      </c>
      <c r="G31" s="6"/>
      <c r="H31" s="3"/>
    </row>
    <row r="32" spans="1:8" ht="26.25" thickBot="1" x14ac:dyDescent="0.4">
      <c r="A32" s="18" t="s">
        <v>118</v>
      </c>
      <c r="B32" s="19">
        <v>2</v>
      </c>
      <c r="C32" s="19">
        <v>4</v>
      </c>
      <c r="D32" s="19">
        <v>6</v>
      </c>
      <c r="E32" s="23">
        <v>8</v>
      </c>
      <c r="F32" s="20">
        <v>10</v>
      </c>
      <c r="G32" s="6"/>
      <c r="H32" s="3"/>
    </row>
    <row r="33" spans="1:8" ht="26.25" thickBot="1" x14ac:dyDescent="0.4">
      <c r="A33" s="18" t="s">
        <v>1159</v>
      </c>
      <c r="B33" s="19">
        <v>1</v>
      </c>
      <c r="C33" s="19">
        <v>2</v>
      </c>
      <c r="D33" s="19">
        <v>3</v>
      </c>
      <c r="E33" s="19">
        <v>4</v>
      </c>
      <c r="F33" s="19">
        <v>5</v>
      </c>
      <c r="G33" s="6"/>
      <c r="H33" s="3"/>
    </row>
    <row r="34" spans="1:8" ht="26.25" thickBot="1" x14ac:dyDescent="0.4">
      <c r="A34" s="6"/>
      <c r="B34" s="6" t="s">
        <v>1160</v>
      </c>
      <c r="C34" s="6"/>
      <c r="D34" s="6" t="s">
        <v>28</v>
      </c>
      <c r="E34" s="6"/>
      <c r="F34" s="6"/>
      <c r="G34" s="6"/>
      <c r="H34" s="3"/>
    </row>
    <row r="35" spans="1:8" ht="26.25" thickBot="1" x14ac:dyDescent="0.4">
      <c r="A35" s="6">
        <v>5</v>
      </c>
      <c r="B35" s="26" t="s">
        <v>100</v>
      </c>
      <c r="C35" s="6">
        <v>5</v>
      </c>
      <c r="D35" s="26" t="s">
        <v>100</v>
      </c>
      <c r="E35" s="6"/>
      <c r="F35" s="6"/>
      <c r="G35" s="6"/>
      <c r="H35" s="3"/>
    </row>
    <row r="36" spans="1:8" ht="26.25" thickBot="1" x14ac:dyDescent="0.4">
      <c r="A36" s="6">
        <v>4</v>
      </c>
      <c r="B36" s="27" t="s">
        <v>87</v>
      </c>
      <c r="C36" s="6">
        <v>4</v>
      </c>
      <c r="D36" s="27" t="s">
        <v>87</v>
      </c>
      <c r="E36" s="6"/>
      <c r="F36" s="6"/>
      <c r="G36" s="6"/>
      <c r="H36" s="3"/>
    </row>
    <row r="37" spans="1:8" ht="26.25" thickBot="1" x14ac:dyDescent="0.4">
      <c r="A37" s="6">
        <v>3</v>
      </c>
      <c r="B37" s="28" t="s">
        <v>109</v>
      </c>
      <c r="C37" s="6">
        <v>3</v>
      </c>
      <c r="D37" s="28" t="s">
        <v>109</v>
      </c>
      <c r="E37" s="6"/>
      <c r="F37" s="6"/>
      <c r="G37" s="6"/>
      <c r="H37" s="3"/>
    </row>
    <row r="38" spans="1:8" ht="26.25" thickBot="1" x14ac:dyDescent="0.4">
      <c r="A38" s="6">
        <v>2</v>
      </c>
      <c r="B38" s="29" t="s">
        <v>118</v>
      </c>
      <c r="C38" s="6">
        <v>2</v>
      </c>
      <c r="D38" s="29" t="s">
        <v>118</v>
      </c>
      <c r="E38" s="6"/>
      <c r="F38" s="6"/>
      <c r="G38" s="6"/>
      <c r="H38" s="3"/>
    </row>
    <row r="39" spans="1:8" ht="26.25" thickBot="1" x14ac:dyDescent="0.4">
      <c r="A39" s="6">
        <v>1</v>
      </c>
      <c r="B39" s="30" t="s">
        <v>295</v>
      </c>
      <c r="C39" s="6">
        <v>1</v>
      </c>
      <c r="D39" s="31" t="s">
        <v>295</v>
      </c>
      <c r="E39" s="6"/>
      <c r="F39" s="6"/>
      <c r="G39" s="6"/>
      <c r="H39" s="3"/>
    </row>
    <row r="40" spans="1:8" ht="15" x14ac:dyDescent="0.2">
      <c r="A40" s="3"/>
      <c r="B40" s="32"/>
      <c r="C40" s="3"/>
      <c r="D40" s="3"/>
      <c r="E40" s="3"/>
      <c r="F40" s="3"/>
      <c r="G40" s="3"/>
      <c r="H40" s="3"/>
    </row>
    <row r="41" spans="1:8" ht="15" x14ac:dyDescent="0.2">
      <c r="A41" s="3"/>
      <c r="B41" s="3"/>
      <c r="C41" s="3"/>
      <c r="D41" s="3"/>
      <c r="E41" s="3"/>
      <c r="F41" s="3"/>
      <c r="G41" s="3"/>
      <c r="H41" s="3"/>
    </row>
    <row r="42" spans="1:8" ht="15" x14ac:dyDescent="0.2">
      <c r="A42" s="3"/>
      <c r="B42" s="3"/>
      <c r="C42" s="3"/>
      <c r="D42" s="3"/>
      <c r="E42" s="3"/>
      <c r="F42" s="3"/>
      <c r="G42" s="3"/>
      <c r="H42" s="3"/>
    </row>
    <row r="45" spans="1:8" ht="15" x14ac:dyDescent="0.25">
      <c r="B45" s="1" t="s">
        <v>1161</v>
      </c>
    </row>
    <row r="46" spans="1:8" x14ac:dyDescent="0.2">
      <c r="B46" t="s">
        <v>373</v>
      </c>
    </row>
    <row r="47" spans="1:8" x14ac:dyDescent="0.2">
      <c r="B47" t="s">
        <v>382</v>
      </c>
    </row>
    <row r="48" spans="1:8" x14ac:dyDescent="0.2">
      <c r="B48" t="s">
        <v>409</v>
      </c>
    </row>
    <row r="49" spans="2:2" x14ac:dyDescent="0.2">
      <c r="B49" t="s">
        <v>1162</v>
      </c>
    </row>
    <row r="50" spans="2:2" x14ac:dyDescent="0.2">
      <c r="B50" t="s">
        <v>402</v>
      </c>
    </row>
  </sheetData>
  <mergeCells count="1">
    <mergeCell ref="A9:A1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BF05-FB41-4334-BF49-02CABDE5E0DA}">
  <dimension ref="S16:W19"/>
  <sheetViews>
    <sheetView workbookViewId="0">
      <selection activeCell="B30" sqref="B30"/>
    </sheetView>
  </sheetViews>
  <sheetFormatPr defaultRowHeight="14.25" x14ac:dyDescent="0.2"/>
  <cols>
    <col min="16" max="16" width="21" customWidth="1"/>
    <col min="17" max="17" width="16.875" customWidth="1"/>
    <col min="18" max="18" width="27.375" customWidth="1"/>
    <col min="19" max="19" width="13" customWidth="1"/>
    <col min="20" max="20" width="13.875" customWidth="1"/>
    <col min="21" max="21" width="16" customWidth="1"/>
    <col min="22" max="22" width="14.125" customWidth="1"/>
    <col min="23" max="23" width="16.125" customWidth="1"/>
  </cols>
  <sheetData>
    <row r="16" ht="15" customHeight="1" x14ac:dyDescent="0.2"/>
    <row r="17" spans="19:23" ht="28.5" customHeight="1" x14ac:dyDescent="0.2"/>
    <row r="18" spans="19:23" ht="14.25" customHeight="1" x14ac:dyDescent="0.2"/>
    <row r="19" spans="19:23" ht="55.5" x14ac:dyDescent="0.2">
      <c r="S19" s="36" t="s">
        <v>1163</v>
      </c>
      <c r="T19" s="37" t="s">
        <v>1164</v>
      </c>
      <c r="U19" s="38" t="s">
        <v>1165</v>
      </c>
      <c r="V19" s="39" t="s">
        <v>1166</v>
      </c>
      <c r="W19" s="40" t="s">
        <v>1167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F0BA28B00070B41BD926FC644B8926D" ma:contentTypeVersion="6" ma:contentTypeDescription="Create a new document." ma:contentTypeScope="" ma:versionID="cfde2cb012aa4da0a93b5ca30f4d49a1">
  <xsd:schema xmlns:xsd="http://www.w3.org/2001/XMLSchema" xmlns:xs="http://www.w3.org/2001/XMLSchema" xmlns:p="http://schemas.microsoft.com/office/2006/metadata/properties" xmlns:ns2="f4c63031-0fdf-4b11-ac46-b86dbf4cff16" xmlns:ns3="3e20d9f4-f56a-4dab-a473-da5ec49fc794" targetNamespace="http://schemas.microsoft.com/office/2006/metadata/properties" ma:root="true" ma:fieldsID="4d40d09d11a698106643fdfdbe5ac99a" ns2:_="" ns3:_="">
    <xsd:import namespace="f4c63031-0fdf-4b11-ac46-b86dbf4cff16"/>
    <xsd:import namespace="3e20d9f4-f56a-4dab-a473-da5ec49fc79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c63031-0fdf-4b11-ac46-b86dbf4cff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e20d9f4-f56a-4dab-a473-da5ec49fc79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075E0DA-AD9C-4346-A91F-9FD1CD2E5362}">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3e20d9f4-f56a-4dab-a473-da5ec49fc794"/>
    <ds:schemaRef ds:uri="http://purl.org/dc/elements/1.1/"/>
    <ds:schemaRef ds:uri="http://schemas.microsoft.com/office/infopath/2007/PartnerControls"/>
    <ds:schemaRef ds:uri="f4c63031-0fdf-4b11-ac46-b86dbf4cff16"/>
    <ds:schemaRef ds:uri="http://www.w3.org/XML/1998/namespace"/>
    <ds:schemaRef ds:uri="http://purl.org/dc/dcmitype/"/>
  </ds:schemaRefs>
</ds:datastoreItem>
</file>

<file path=customXml/itemProps2.xml><?xml version="1.0" encoding="utf-8"?>
<ds:datastoreItem xmlns:ds="http://schemas.openxmlformats.org/officeDocument/2006/customXml" ds:itemID="{E429ED63-43CF-4998-8D25-F6754233D2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c63031-0fdf-4b11-ac46-b86dbf4cff16"/>
    <ds:schemaRef ds:uri="3e20d9f4-f56a-4dab-a473-da5ec49fc7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E01D1CB-7307-478B-9561-2B13BE7581D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Risk Register</vt:lpstr>
      <vt:lpstr>Sheet1</vt:lpstr>
      <vt:lpstr>Risk Matrices</vt:lpstr>
      <vt:lpstr>Impact &amp; Liklihood</vt:lpstr>
      <vt:lpstr>Compliance___Legal</vt:lpstr>
      <vt:lpstr>Customers___Reputation</vt:lpstr>
      <vt:lpstr>Financial</vt:lpstr>
      <vt:lpstr>Health__Safety__Environemnt___Quality</vt:lpstr>
      <vt:lpstr>Human_Capital</vt:lpstr>
      <vt:lpstr>Operations</vt:lpstr>
      <vt:lpstr>Project_Plan</vt:lpstr>
      <vt:lpstr>Strategic</vt:lpstr>
      <vt:lpstr>Technology</vt:lpstr>
    </vt:vector>
  </TitlesOfParts>
  <Manager/>
  <Company>MMC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Sohail, Sufian</dc:creator>
  <cp:keywords/>
  <dc:description/>
  <cp:lastModifiedBy>Ahmed Abdulhalim</cp:lastModifiedBy>
  <cp:revision/>
  <dcterms:created xsi:type="dcterms:W3CDTF">2023-07-24T16:10:06Z</dcterms:created>
  <dcterms:modified xsi:type="dcterms:W3CDTF">2025-05-27T05:27:44Z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f1469a-2c2a-4aee-b92b-090d4c5468ff_Enabled">
    <vt:lpwstr>true</vt:lpwstr>
  </property>
  <property fmtid="{D5CDD505-2E9C-101B-9397-08002B2CF9AE}" pid="3" name="MSIP_Label_38f1469a-2c2a-4aee-b92b-090d4c5468ff_SetDate">
    <vt:lpwstr>2023-07-24T16:10:07Z</vt:lpwstr>
  </property>
  <property fmtid="{D5CDD505-2E9C-101B-9397-08002B2CF9AE}" pid="4" name="MSIP_Label_38f1469a-2c2a-4aee-b92b-090d4c5468ff_Method">
    <vt:lpwstr>Standard</vt:lpwstr>
  </property>
  <property fmtid="{D5CDD505-2E9C-101B-9397-08002B2CF9AE}" pid="5" name="MSIP_Label_38f1469a-2c2a-4aee-b92b-090d4c5468ff_Name">
    <vt:lpwstr>Confidential - Unmarked</vt:lpwstr>
  </property>
  <property fmtid="{D5CDD505-2E9C-101B-9397-08002B2CF9AE}" pid="6" name="MSIP_Label_38f1469a-2c2a-4aee-b92b-090d4c5468ff_SiteId">
    <vt:lpwstr>2a6e6092-73e4-4752-b1a5-477a17f5056d</vt:lpwstr>
  </property>
  <property fmtid="{D5CDD505-2E9C-101B-9397-08002B2CF9AE}" pid="7" name="MSIP_Label_38f1469a-2c2a-4aee-b92b-090d4c5468ff_ActionId">
    <vt:lpwstr>d85438fb-a3fd-4b23-b6dc-1f1f8aaea16c</vt:lpwstr>
  </property>
  <property fmtid="{D5CDD505-2E9C-101B-9397-08002B2CF9AE}" pid="8" name="MSIP_Label_38f1469a-2c2a-4aee-b92b-090d4c5468ff_ContentBits">
    <vt:lpwstr>0</vt:lpwstr>
  </property>
  <property fmtid="{D5CDD505-2E9C-101B-9397-08002B2CF9AE}" pid="9" name="ContentTypeId">
    <vt:lpwstr>0x0101000F0BA28B00070B41BD926FC644B8926D</vt:lpwstr>
  </property>
</Properties>
</file>